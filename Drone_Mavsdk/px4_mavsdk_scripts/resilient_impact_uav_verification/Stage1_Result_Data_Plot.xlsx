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lukas\Desktop\PhD\PhD\SEMESTER_4\WORKSPACES\Impact_Resilient_UAV\Stage_1\Results\SITL\"/>
    </mc:Choice>
  </mc:AlternateContent>
  <xr:revisionPtr revIDLastSave="0" documentId="13_ncr:1_{8DDD1CDE-FA67-421C-B1E2-5EE8155FE708}" xr6:coauthVersionLast="47" xr6:coauthVersionMax="47" xr10:uidLastSave="{00000000-0000-0000-0000-000000000000}"/>
  <bookViews>
    <workbookView xWindow="-98" yWindow="-98" windowWidth="21795" windowHeight="12975" firstSheet="5" activeTab="7" xr2:uid="{00000000-000D-0000-FFFF-FFFF00000000}"/>
  </bookViews>
  <sheets>
    <sheet name="Title" sheetId="7" r:id="rId1"/>
    <sheet name="Paper_References" sheetId="8" r:id="rId2"/>
    <sheet name="Raw_Data_Collection_SITL_Ep_100" sheetId="1" r:id="rId3"/>
    <sheet name="Raw_Data_Collection_HITL_Ep_100" sheetId="9" r:id="rId4"/>
    <sheet name="Raw_Data_Collection_HITL_Ep_200" sheetId="10" r:id="rId5"/>
    <sheet name="Mean Episode Altitude" sheetId="2" r:id="rId6"/>
    <sheet name="Root Mean Squared Error" sheetId="3" r:id="rId7"/>
    <sheet name="Horizontal Drift" sheetId="4" r:id="rId8"/>
    <sheet name="Vertical Command Distribution" sheetId="5" r:id="rId9"/>
    <sheet name="Overall"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3" i="4" l="1"/>
  <c r="C113" i="4"/>
  <c r="G146" i="3"/>
  <c r="C144" i="3"/>
  <c r="C143" i="3"/>
  <c r="C146" i="3" s="1"/>
  <c r="C147" i="3" s="1"/>
  <c r="C148" i="3" s="1"/>
  <c r="C138" i="3" a="1"/>
  <c r="C138" i="3"/>
  <c r="D138" i="3" a="1"/>
  <c r="D138" i="3" s="1"/>
  <c r="D97" i="2" a="1"/>
  <c r="D97" i="2" s="1"/>
  <c r="C97" i="2" a="1"/>
  <c r="C97" i="2" s="1"/>
  <c r="D87" i="4"/>
  <c r="C87" i="4"/>
  <c r="C31" i="3" a="1"/>
  <c r="C31" i="3" s="1"/>
  <c r="C36" i="3" s="1"/>
  <c r="D31" i="3" a="1"/>
  <c r="D31" i="3" s="1"/>
  <c r="C37" i="3" s="1"/>
  <c r="C39" i="3" s="1"/>
  <c r="C65" i="3" a="1"/>
  <c r="C65" i="3" s="1"/>
  <c r="G72" i="3" s="1"/>
  <c r="C119" i="3"/>
  <c r="C118" i="3"/>
  <c r="C117" i="3"/>
  <c r="D109" i="3" a="1"/>
  <c r="D109" i="3" s="1"/>
  <c r="G116" i="3" s="1"/>
  <c r="C109" i="3" a="1"/>
  <c r="C109" i="3" s="1"/>
  <c r="D74" i="2" a="1"/>
  <c r="D74" i="2" s="1"/>
  <c r="C74" i="2" a="1"/>
  <c r="C74" i="2" s="1"/>
  <c r="C61" i="4"/>
  <c r="D61" i="4"/>
  <c r="D17" i="2" a="1"/>
  <c r="D17" i="2" s="1"/>
  <c r="E17" i="2" s="1"/>
  <c r="E18" i="2" s="1"/>
  <c r="C17" i="2" a="1"/>
  <c r="C17" i="2" s="1"/>
  <c r="D43" i="2" a="1"/>
  <c r="D43" i="2" s="1"/>
  <c r="C43" i="2" a="1"/>
  <c r="C43" i="2" s="1"/>
  <c r="D65" i="3" a="1"/>
  <c r="D65" i="3" s="1"/>
  <c r="C71" i="3" s="1"/>
  <c r="D34" i="4"/>
  <c r="C34" i="4"/>
  <c r="D139" i="3" l="1"/>
  <c r="D140" i="3" s="1"/>
  <c r="C70" i="3"/>
  <c r="C73" i="3" s="1"/>
  <c r="C74" i="3" s="1"/>
  <c r="C75" i="3" s="1"/>
  <c r="E97" i="2"/>
  <c r="E98" i="2" s="1"/>
  <c r="D66" i="3"/>
  <c r="D67" i="3" s="1"/>
  <c r="D110" i="3"/>
  <c r="D111" i="3" s="1"/>
  <c r="E43" i="2"/>
  <c r="E44" i="2" s="1"/>
  <c r="E74" i="2"/>
  <c r="E75" i="2" s="1"/>
  <c r="G40" i="3"/>
  <c r="D32" i="3"/>
  <c r="C40" i="3" s="1"/>
  <c r="D33" i="3" l="1"/>
  <c r="C4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<sst xmlns="http://schemas.openxmlformats.org/spreadsheetml/2006/main" count="709" uniqueCount="368">
  <si>
    <t>========================================================================</t>
  </si>
  <si>
    <t>STAGE 1 STATISTICS REPORT</t>
  </si>
  <si>
    <t>Behavioural Cloning: PX4 Position Hold vs Imitation Policy</t>
  </si>
  <si>
    <t>Target altitude: 10.0m | Episodes: 10 | Steps: per episode</t>
  </si>
  <si>
    <t>TABLE 1 — MAIN COMPARISON (copy directly to paper)</t>
  </si>
  <si>
    <t>------------------------------------------------------------------------</t>
  </si>
  <si>
    <t>Metric                                PX4 Baseline    BC Policy        Gap</t>
  </si>
  <si>
    <t>Success rate (%)                             100.0        100.0          —</t>
  </si>
  <si>
    <t>Transfer efficiency (%)                          —          0.0          —</t>
  </si>
  <si>
    <t>TABLE 2 — PER-EPISODE BREAKDOWN</t>
  </si>
  <si>
    <t>ACTION DISTRIBUTION (policy output statistics)</t>
  </si>
  <si>
    <t xml:space="preserve">  NOTE: Near-zero means confirm unbiased labels (TARGET_D fix working).</t>
  </si>
  <si>
    <t xml:space="preserve">  Small std confirms policy outputs gentle corrections, not aggressive cmds.</t>
  </si>
  <si>
    <t xml:space="preserve">  All raw data: ./results/statistics_summary.pkl</t>
  </si>
  <si>
    <t xml:space="preserve">Mean episode altitude PX4 baseline vs BC policy </t>
  </si>
  <si>
    <t>BC policy</t>
  </si>
  <si>
    <t>Baseline</t>
  </si>
  <si>
    <t xml:space="preserve">PX4 Baseline </t>
  </si>
  <si>
    <t>Altitude (metre)</t>
  </si>
  <si>
    <t>No episode with mean altitude below 9.0m or above 11.0m</t>
  </si>
  <si>
    <r>
      <t xml:space="preserve">Baseline : </t>
    </r>
    <r>
      <rPr>
        <sz val="12"/>
        <color theme="1"/>
        <rFont val="Calibri"/>
        <family val="2"/>
        <scheme val="minor"/>
      </rPr>
      <t>Target altitude is at 10m</t>
    </r>
    <r>
      <rPr>
        <b/>
        <sz val="12"/>
        <color theme="1"/>
        <rFont val="Calibri"/>
        <family val="2"/>
        <scheme val="minor"/>
      </rPr>
      <t xml:space="preserve">
</t>
    </r>
  </si>
  <si>
    <t>Comment</t>
  </si>
  <si>
    <t>RMSE (Root Mean Squared Error) from 10.0m target per episode</t>
  </si>
  <si>
    <t>This data measure how far the drone actual altitude was from the target altitude of 10.0m which is average across all 500 steps of an episode</t>
  </si>
  <si>
    <t>error = actual_altitude - target_altitude</t>
  </si>
  <si>
    <t>Steps 0–100:   altitude ≈ 9.9m    error ≈ -0.1m    squared ≈ 0.01</t>
  </si>
  <si>
    <t>Steps 100–200: altitude ≈ 9.6m    error ≈ -0.4m    squared ≈ 0.16</t>
  </si>
  <si>
    <t>Steps 200–300: altitude ≈ 9.3m    error ≈ -0.7m    squared ≈ 0.49</t>
  </si>
  <si>
    <t>Steps 300–400: altitude ≈ 9.1m    error ≈ -0.9m    squared ≈ 0.81</t>
  </si>
  <si>
    <t>Steps 400–500: altitude ≈ 9.4m    error ≈ -0.6m    squared ≈ 0.36</t>
  </si>
  <si>
    <t>Mean squared error ≈ (0.01 + 0.16 + 0.49 + 0.81 + 0.36) / 5 ≈ 0.366</t>
  </si>
  <si>
    <t>RMSE ≈ √0.366 ≈ 0.605m  (simplified — actual is 1.005m over 500 steps)</t>
  </si>
  <si>
    <t>The squaring amplifies the large errors in steps 300–400. Even if some steps are close to 10m, the big deviations dominate.</t>
  </si>
  <si>
    <t>Episodes</t>
  </si>
  <si>
    <t xml:space="preserve">PX4 RMSE </t>
  </si>
  <si>
    <t>BC Policy RMSE</t>
  </si>
  <si>
    <t>Mean RMSE From target</t>
  </si>
  <si>
    <t xml:space="preserve">Mean RMSE </t>
  </si>
  <si>
    <t>: PX4 baseline is 0.103m</t>
  </si>
  <si>
    <t>Mean altitude (m)                            9.902       10.006     +0.104</t>
  </si>
  <si>
    <t>Mean altitude error (m)                      0.098        0.363     +0.265</t>
  </si>
  <si>
    <t>RMSE from target (m)                         0.103        0.469     +0.366</t>
  </si>
  <si>
    <t>Altitude std dev (m)                         0.026        0.269     +0.242</t>
  </si>
  <si>
    <t>Mean horiz distance (m)                      1.582        1.504     -0.077</t>
  </si>
  <si>
    <t>Max horiz distance (m)                       2.723        2.783          —</t>
  </si>
  <si>
    <t>Drift rate |m/s| mean                       0.0017       0.0279    +0.0262</t>
  </si>
  <si>
    <t>RMSE ratio (policy/baseline)                  1.00         4.57          —</t>
  </si>
  <si>
    <t>--------------------------------------------------------------------------------------------------------</t>
  </si>
  <si>
    <t>Ep     BL alt  BL std  BL RMSE  BL dist  BL dmax   BC alt  BC std  BC RMSE  BC dist  BC dmax  BC drift</t>
  </si>
  <si>
    <t>1       9.779  0.0177   0.2220    1.852    1.930    9.564  0.1447   0.4590    1.555    1.893   -0.0191</t>
  </si>
  <si>
    <t>2       9.926  0.0317   0.0809    0.998    1.064   10.120  0.1942   0.2281    1.332    1.506   +0.0155</t>
  </si>
  <si>
    <t>3       9.930  0.0287   0.0753    1.927    1.976    9.922  0.2240   0.2371    1.563    1.999   -0.0101</t>
  </si>
  <si>
    <t>4       9.847  0.0227   0.1550    2.280    2.325    9.411  0.2855   0.6548    1.980    2.357   -0.0361</t>
  </si>
  <si>
    <t>5       9.923  0.0248   0.0808    0.914    0.954    9.641  0.0946   0.3708    0.898    1.087   -0.0010</t>
  </si>
  <si>
    <t>6       9.956  0.0236   0.0503    2.685    2.723   10.370  0.2469   0.4445    2.567    2.783   +0.0304</t>
  </si>
  <si>
    <t>7       9.942  0.0236   0.0626    1.747    1.899    9.678  0.1786   0.3678    1.571    1.839   -0.0088</t>
  </si>
  <si>
    <t>8       9.918  0.0348   0.0892    1.793    1.870   10.321  0.2101   0.3837    2.024    2.301   +0.0068</t>
  </si>
  <si>
    <t>9       9.953  0.0294   0.0554    0.791    0.836   10.770  0.6152   0.9856    0.759    0.843   +0.0849</t>
  </si>
  <si>
    <t>10      9.847  0.0268   0.1552    0.831    0.871   10.263  0.4932   0.5591    0.795    0.912   +0.0666</t>
  </si>
  <si>
    <t>Mean    9.902  0.0264   0.1027    1.582    1.645   10.006  0.2687   0.4691    1.504    1.752    0.0279</t>
  </si>
  <si>
    <t xml:space="preserve">  vn (north): mean=+0.0043  std=0.0112  max|val|=0.0249</t>
  </si>
  <si>
    <t xml:space="preserve">  ve (east):  mean=-0.0033  std=0.0096  max|val|=0.0288</t>
  </si>
  <si>
    <t xml:space="preserve">  vd (down):  mean=-0.0110  std=0.0505  max|val|=0.1293</t>
  </si>
  <si>
    <t>ACTION HISTOGRAM — X/Y DATA FOR PLOTTING</t>
  </si>
  <si>
    <t xml:space="preserve">  vn:  mean=+0.0043  std=0.0112  median=+0.0054  bins=40</t>
  </si>
  <si>
    <t xml:space="preserve">       x (bin centres): [-0.0177, -0.0167, -0.0156, -0.0145, -0.0134] ... [0.0201, 0.0211, 0.0222, 0.0233, 0.0244]</t>
  </si>
  <si>
    <t xml:space="preserve">       y (counts):      [49, 175, 125, 75, 75] ... [233, 119, 146, 22, 7]</t>
  </si>
  <si>
    <t xml:space="preserve">  ve:  mean=-0.0033  std=0.0096  median=-0.0040  bins=40</t>
  </si>
  <si>
    <t xml:space="preserve">       x (bin centres): [-0.0214, -0.0201, -0.0188, -0.0176, -0.0163] ... [0.0231, 0.0244, 0.0256, 0.0269, 0.0282]</t>
  </si>
  <si>
    <t xml:space="preserve">       y (counts):      [13, 55, 48, 85, 146] ... [9, 13, 9, 16, 3]</t>
  </si>
  <si>
    <t xml:space="preserve">  vd:  mean=-0.0110  std=0.0505  median=+0.0018  bins=40</t>
  </si>
  <si>
    <t xml:space="preserve">       x (bin centres): [-0.1262, -0.12, -0.1139, -0.1077, -0.1015] ... [0.0896, 0.0958, 0.102, 0.1081, 0.1143]</t>
  </si>
  <si>
    <t xml:space="preserve">       y (counts):      [66, 69, 42, 44, 77] ... [17, 6, 3, 2, 36]</t>
  </si>
  <si>
    <t xml:space="preserve">  To plot in Python:</t>
  </si>
  <si>
    <t xml:space="preserve">    import pickle, numpy as np, matplotlib.pyplot as plt</t>
  </si>
  <si>
    <t xml:space="preserve">    with open('./results/statistics_summary.pkl','rb') as f: d=pickle.load(f)</t>
  </si>
  <si>
    <t xml:space="preserve">    h = d['policy']['action_histogram']['vd']</t>
  </si>
  <si>
    <t xml:space="preserve">    plt.bar(h['x'], h['y'], width=h['width'], color='steelblue')</t>
  </si>
  <si>
    <t xml:space="preserve">    plt.axvline(h['mean'], color='orange', label=f"mean={h['mean']:.4f}")</t>
  </si>
  <si>
    <t xml:space="preserve">    plt.axvline(0, color='red', linestyle='--', label='zero')</t>
  </si>
  <si>
    <t xml:space="preserve">    plt.xlabel('vd command (m/s)'); plt.ylabel('frequency')</t>
  </si>
  <si>
    <t xml:space="preserve">    plt.legend(); plt.show()</t>
  </si>
  <si>
    <t>FIGURES — ALL DATA KEYS IN statistics_summary.pkl</t>
  </si>
  <si>
    <t xml:space="preserve">  Fig 1 — Altitude time series:</t>
  </si>
  <si>
    <t xml:space="preserve">    data['baseline']['episode_altitudes']  → list of 10 lists (500 steps each)</t>
  </si>
  <si>
    <t xml:space="preserve">    data['policy']['episode_altitudes']    → list of 10 lists (500 steps each)</t>
  </si>
  <si>
    <t xml:space="preserve">  Fig 2 — Per-episode RMSE bar chart:</t>
  </si>
  <si>
    <t xml:space="preserve">    data['baseline']['ep_rmse']            → list of 10 RMSE values</t>
  </si>
  <si>
    <t xml:space="preserve">    data['policy']['ep_rmse']              → list of 10 RMSE values</t>
  </si>
  <si>
    <t xml:space="preserve">  Fig 3 — Action distribution histogram (vd):</t>
  </si>
  <si>
    <t xml:space="preserve">    data['policy']['action_histogram']['vd']['x']  → bin centres (m/s)</t>
  </si>
  <si>
    <t xml:space="preserve">    data['policy']['action_histogram']['vd']['y']  → counts per bin</t>
  </si>
  <si>
    <t xml:space="preserve">    data['policy']['action_histogram']['vd']['width'] → bar width</t>
  </si>
  <si>
    <t xml:space="preserve">    data['policy']['all_actions']          → raw (N,3) array [vn,ve,vd]</t>
  </si>
  <si>
    <t xml:space="preserve">  Fig 4 — Horizontal drift bar chart:</t>
  </si>
  <si>
    <t xml:space="preserve">    data['baseline']['ep_dist_max']        → max dist per episode</t>
  </si>
  <si>
    <t xml:space="preserve">    data['policy']['ep_dist_max']          → max dist per episode</t>
  </si>
  <si>
    <t xml:space="preserve">  Extra — Horizontal distance time series:</t>
  </si>
  <si>
    <t xml:space="preserve">    data['baseline']['episode_distances']  → list of 10 lists (500 steps each)</t>
  </si>
  <si>
    <t xml:space="preserve">    data['policy']['episode_distances']    → list of 10 lists (500 steps each)</t>
  </si>
  <si>
    <r>
      <rPr>
        <b/>
        <sz val="12"/>
        <color theme="1"/>
        <rFont val="Segoe UI"/>
        <family val="2"/>
      </rPr>
      <t>PX4 baseline</t>
    </r>
    <r>
      <rPr>
        <sz val="12"/>
        <color theme="1"/>
        <rFont val="Segoe UI"/>
        <family val="2"/>
      </rPr>
      <t xml:space="preserve"> : all episode are within 9.78 - 9.96m with standard deviation (std 0.026m)</t>
    </r>
  </si>
  <si>
    <r>
      <rPr>
        <b/>
        <sz val="12"/>
        <color theme="1"/>
        <rFont val="Calibri"/>
        <family val="2"/>
        <scheme val="minor"/>
      </rPr>
      <t>BC Policy</t>
    </r>
    <r>
      <rPr>
        <sz val="12"/>
        <color theme="1"/>
        <rFont val="Calibri"/>
        <family val="2"/>
        <scheme val="minor"/>
      </rPr>
      <t xml:space="preserve"> : Spread across 9.41 - 10.77m with standard deviation (std 0.269m). Episode 9  show the highest altitude 10.77m with RMSE 0.986m.
</t>
    </r>
  </si>
  <si>
    <t>: BC Policy is 0.46905m with ratio of 4.5x. Episode 9 are outliers pulling the mean upward</t>
  </si>
  <si>
    <t>RMSE 4.568m is 4.5x above baselines. This is driven by Episode 9 (RMSE 0.9856m) where the altitude increase to 10.77m</t>
  </si>
  <si>
    <t>Maximum Horizontal Drift Per Episode</t>
  </si>
  <si>
    <t>Maximum horizontal drift is the largest straight line distance the drone from its target (0,0) at any single moment during the episode</t>
  </si>
  <si>
    <t>measured only in the North-East plane ignoring altitude.</t>
  </si>
  <si>
    <t>At start:</t>
  </si>
  <si>
    <t>As episode runs, drone drifts further:</t>
  </si>
  <si>
    <t>Max horizontal drift for this episode = 2.68m</t>
  </si>
  <si>
    <t xml:space="preserve">Start position:    </t>
  </si>
  <si>
    <t>North = +1.8m,  East = -0.5m   (random offset)</t>
  </si>
  <si>
    <t xml:space="preserve">Target:            </t>
  </si>
  <si>
    <t>North =  0.0m,  East =  0.0m</t>
  </si>
  <si>
    <t>North = 2.1m, East = -0.8m</t>
  </si>
  <si>
    <t xml:space="preserve">Step 200: </t>
  </si>
  <si>
    <t xml:space="preserve">dist = </t>
  </si>
  <si>
    <t>√(2.1² + 0.8²) = √(4.41 + 0.64) = √5.05 = 2.25m  ← new max</t>
  </si>
  <si>
    <t xml:space="preserve">Step 400: </t>
  </si>
  <si>
    <t>North = 2.4m, East = -1.2m</t>
  </si>
  <si>
    <t>√(2.4² + 1.2²) = √(5.76 + 1.44) = √7.20 = 2.68m  ← new max</t>
  </si>
  <si>
    <t xml:space="preserve">PX4 max dist </t>
  </si>
  <si>
    <t>BC Policy max dist</t>
  </si>
  <si>
    <t>Max Mean dist from target</t>
  </si>
  <si>
    <t>PX4 max distance drift with mean 1.6448m</t>
  </si>
  <si>
    <t>BC policy max distance drift with mean 1.752m</t>
  </si>
  <si>
    <t>Both of this condition dominated by +-2m random start offsets. The BC policy is not  affected by lateral control of PX4</t>
  </si>
  <si>
    <t>√(1.8² + 0.5²) = √(3.24 + 0.25) = √3.49 = 1.87m</t>
  </si>
  <si>
    <t>Vertical Command (Vd) Distribution</t>
  </si>
  <si>
    <t>The x-axis the vd command value in m/s. The y-axis is how many of the 5000 stephs had that command value.</t>
  </si>
  <si>
    <t>The orange line is the mean (-0.011m/s). The red dashed line is zero</t>
  </si>
  <si>
    <t>Without this Episode 9, the RMSE ratio ~=&lt;4.0x. This is single episode covariate shift which will be the direct motivation</t>
  </si>
  <si>
    <t>for Stage 2 PPO (Transfer Learning technique)</t>
  </si>
  <si>
    <t>Region</t>
  </si>
  <si>
    <t>Vd range</t>
  </si>
  <si>
    <t>Real Count</t>
  </si>
  <si>
    <t>Source Episodes</t>
  </si>
  <si>
    <t>Descriptions</t>
  </si>
  <si>
    <t>Left Tail</t>
  </si>
  <si>
    <t>1901 steps (38.0%)</t>
  </si>
  <si>
    <t>Drove is above the target where the policy commanding ascent</t>
  </si>
  <si>
    <t>Central Peak</t>
  </si>
  <si>
    <t>-0.13 to -0.02</t>
  </si>
  <si>
    <t>-0.02 to +0.06</t>
  </si>
  <si>
    <t>2958 steps (59.2%)</t>
  </si>
  <si>
    <t>Drone near equilibriums with small corrections</t>
  </si>
  <si>
    <t>Right Tail</t>
  </si>
  <si>
    <t>+0.06 to +0.12</t>
  </si>
  <si>
    <t>141 steps (2.8%)</t>
  </si>
  <si>
    <t>2,6,8,9,10</t>
  </si>
  <si>
    <t xml:space="preserve">Bars is coloured by region. </t>
  </si>
  <si>
    <t xml:space="preserve">Left Tail (orange, 38% of steps) = episodes 2,6,8,9,10 which climbed above 10m. </t>
  </si>
  <si>
    <t>Centre Peak (blue, 59.2%) = near equilibirium corrections from all episode.</t>
  </si>
  <si>
    <t>Each episode Vd behaviour explained</t>
  </si>
  <si>
    <t>Upward</t>
  </si>
  <si>
    <t xml:space="preserve"> Down</t>
  </si>
  <si>
    <t>↓</t>
  </si>
  <si>
    <t>↑</t>
  </si>
  <si>
    <t xml:space="preserve"> ≈</t>
  </si>
  <si>
    <t>Histogram Description</t>
  </si>
  <si>
    <t>Climbed to 10.12m. Policy command upward direction</t>
  </si>
  <si>
    <t>Climbed to 10.77m. Policy command upward direction</t>
  </si>
  <si>
    <t>Climbed to 10.32m. Policy command upward direction</t>
  </si>
  <si>
    <t>Climbed to 10.26m. Policy command upward direction</t>
  </si>
  <si>
    <t>Group</t>
  </si>
  <si>
    <t>Central peak</t>
  </si>
  <si>
    <t xml:space="preserve">the PX4 settled at 9.9m during training, therefore TARGET_D was approximately at -9.9m. At test time, when the drone is near 9.9m, the policy outputs a tiny downard </t>
  </si>
  <si>
    <t xml:space="preserve">commands. </t>
  </si>
  <si>
    <t>This is the region where the policy doing whaat it learned. The peak sits at approximate +0.02 to +0.03m/s not at exactly 0. That small positive offset exist because</t>
  </si>
  <si>
    <t>These are negative Vd commands meaning the policy told the drone to ascend. They came from the 4 episode that climbed above target.The policy detected it's too high and tried to push down</t>
  </si>
  <si>
    <t>3,5,7</t>
  </si>
  <si>
    <t>1,4</t>
  </si>
  <si>
    <t>Drone is below the target where the policy commanding descent</t>
  </si>
  <si>
    <t xml:space="preserve">There are steps where policy issue  descent commands below the target.  </t>
  </si>
  <si>
    <t>Right Tail (red, 2.8%) = episodes 1,4 which descend below 10m</t>
  </si>
  <si>
    <t>Drone sank to 9.41m. Policy command smalll gentle downward direction</t>
  </si>
  <si>
    <t xml:space="preserve">Drone sank to 9.56m. Policy command small downward direction </t>
  </si>
  <si>
    <t>Near target. Policy command small gentle downward direction</t>
  </si>
  <si>
    <t xml:space="preserve">Near stable. Policy command small gentle downward </t>
  </si>
  <si>
    <t xml:space="preserve">Climbed to 10.37m. Policy command upward direction </t>
  </si>
  <si>
    <t>In layment term, this value is an average of every single velocity command (vd) the policy send across all 10 episode.</t>
  </si>
  <si>
    <r>
      <rPr>
        <b/>
        <sz val="11"/>
        <color theme="1"/>
        <rFont val="Calibri"/>
        <family val="2"/>
        <scheme val="minor"/>
      </rPr>
      <t xml:space="preserve">Mean = -0.011m/s </t>
    </r>
    <r>
      <rPr>
        <sz val="11"/>
        <color theme="1"/>
        <rFont val="Calibri"/>
        <family val="2"/>
        <scheme val="minor"/>
      </rPr>
      <t>is near to zero confirm near-zero systematic bias in the learned policy, validating the TARGET_D correction methodology applied during data collection</t>
    </r>
  </si>
  <si>
    <t>Imitation Learning of UAV Hover Behaviour via Passive Autopilot Observation</t>
  </si>
  <si>
    <t>Problem Statement</t>
  </si>
  <si>
    <t>Description</t>
  </si>
  <si>
    <t>Objectives</t>
  </si>
  <si>
    <t>To evaluate the trained behavioural cloning policy against the PX4 position hold baseline using a controlled statistical comparison framework, and quantify the imitation transfer gap in terms of altitude RMSE, standard deviation, horizontal drift, and action distribution.</t>
  </si>
  <si>
    <t>To collect high-quality hover demonstration data by passively observing PX4's internal position hold controller, where the drone remains in offboard position mode throughout and action labels are derived analytically from position error, ensuring stable and unbiased training data.</t>
  </si>
  <si>
    <t>To train a neural network hover policy via behavioural cloning on the collected demonstration dataset, transferring PX4's stable position hold behaviour into a deployable velocity-command policy that reproduces the same hover characteristics.</t>
  </si>
  <si>
    <t>UAVs require stable and reliable hover control as the foundation for all higher-level mission behaviours including disturbance recovery and impact resilience. Existing autopilot systems rely on cascaded PID controllers that achieve reliable hover under nominal conditions but require extensive platform-specific manual gain tuning. When operating conditions deviate significantly from the tuned equilibrium, as occurs during physical impact or aggressive disturbance, these fixed-gain controllers lack the adaptive capacity to recover, limiting UAV resilience in complex real-world remote sensing environments.</t>
  </si>
  <si>
    <t>Behavioural cloning offers an attractive alternative by learning hover behaviour directly from expert demonstrations without requiring extensive trial-and-error interactions. However, existing approaches rely on either a human pilot or a hand-tuned external PID controller as the expert demonstrator. A human pilot produces non-uniform demonstrations while an external PID injected in velocity mode disturbs the drone's position hold, producing drifting rather than stable training data. Since the quality of a behaviourally cloned policy is fundamentally bounded by the quality of its expert, neither approach fully exploits the stable hover behaviour already achievable by the autopilot itself.</t>
  </si>
  <si>
    <t>Furthermore, deploying a behaviourally cloned policy on real PX4 hardware introduces API-level incompatibilities between simulation environments and PX4's safety-constrained asynchronous MAVSDK interface. Differences in telemetry access, episode reset constraints, and offboard mode management prevent direct translation of simulation-trained controllers to real hardware deployment. Yet existing behavioural cloning literature provides limited guidance on resolving these incompatibilities for practical testing and deployment on real autopilot hardware</t>
  </si>
  <si>
    <t>Each episode run for 500 steps. 1 step = 1 control loop iteration = 0.05 seconds (20hz), therefore 500 steps  = 500 x 0.05 = 25 seconds</t>
  </si>
  <si>
    <t>For 1 episode , drone hover for 25 seconds. And during this time, the policy send the velocity command every 0.005 seconds = 500 commands</t>
  </si>
  <si>
    <t>Over 500 control steps (25 seconds) per episode at 20 Hz, the policy achieves a mean altitude RMSE of 0.469m compared to 0.103m</t>
  </si>
  <si>
    <t>for the PX4 baseline, representing a 4.57× performance gap attributable to covariate shift in offline behavioural cloning</t>
  </si>
  <si>
    <t>1       9.896  0.0389   0.1113    1.841    1.868    9.959  0.0595   0.0722    1.537    1.926   +0.0052</t>
  </si>
  <si>
    <t>2       9.991  0.0164   0.0185    0.997    1.050   10.011  0.0651   0.0660    0.888    1.167   +0.0007</t>
  </si>
  <si>
    <t>3       9.960  0.0332   0.0520    1.936    2.006    9.921  0.0930   0.1223    2.008    2.160   +0.0008</t>
  </si>
  <si>
    <t>4       9.920  0.0142   0.0809    2.276    2.337    9.983  0.0432   0.0462    2.323    2.403   +0.0018</t>
  </si>
  <si>
    <t>5       9.889  0.0220   0.1134    0.934    0.991    9.901  0.1265   0.1607    0.758    0.968   -0.0156</t>
  </si>
  <si>
    <t>6       9.819  0.0315   0.1837    2.660    2.763    9.989  0.0630   0.0639    2.659    2.982   +0.0062</t>
  </si>
  <si>
    <t>7      10.014  0.0354   0.0382    1.725    1.788   10.083  0.0487   0.0959    1.437    1.847   +0.0062</t>
  </si>
  <si>
    <t>8       9.890  0.0119   0.1108    1.785    1.871    9.968  0.0600   0.0678    1.530    1.797   -0.0029</t>
  </si>
  <si>
    <t>9       9.881  0.0159   0.1197    0.806    0.847    9.894  0.0642   0.1244    1.308    1.660   +0.0065</t>
  </si>
  <si>
    <t>10      9.965  0.0223   0.0413    0.878    0.915    9.877  0.0731   0.1433    1.482    1.946   +0.0082</t>
  </si>
  <si>
    <t>Mean    9.923  0.0242   0.0870    1.584    1.644    9.958  0.0696   0.0963    1.593    1.885    0.0054</t>
  </si>
  <si>
    <t>for the PX4 baseline, representing a 2.1× performance gap attributable to covariate shift in offline behavioural cloning</t>
  </si>
  <si>
    <t>Collection with Episode 100 --Steps 500 and Epoch 800</t>
  </si>
  <si>
    <t>RMSE ratio dropped from 4.57× to 1.11×. Transfer efficiency 89.3%. The policy now performs almost identically to PX4 position hold.</t>
  </si>
  <si>
    <t>Mean alttitude</t>
  </si>
  <si>
    <t>Gap</t>
  </si>
  <si>
    <t>Gap%</t>
  </si>
  <si>
    <t>Gap %</t>
  </si>
  <si>
    <t>with no  catastrophic outlier episodes observed</t>
  </si>
  <si>
    <r>
      <rPr>
        <b/>
        <sz val="12"/>
        <color theme="1"/>
        <rFont val="Segoe UI"/>
        <family val="2"/>
      </rPr>
      <t>PX4 baseline</t>
    </r>
    <r>
      <rPr>
        <sz val="12"/>
        <color theme="1"/>
        <rFont val="Segoe UI"/>
        <family val="2"/>
      </rPr>
      <t xml:space="preserve"> : all episode are within ~9.9m</t>
    </r>
  </si>
  <si>
    <r>
      <rPr>
        <b/>
        <sz val="12"/>
        <color theme="1"/>
        <rFont val="Calibri"/>
        <family val="2"/>
        <scheme val="minor"/>
      </rPr>
      <t>BC Policy</t>
    </r>
    <r>
      <rPr>
        <sz val="12"/>
        <color theme="1"/>
        <rFont val="Calibri"/>
        <family val="2"/>
        <scheme val="minor"/>
      </rPr>
      <t xml:space="preserve"> : all episode are within ~9.9m
</t>
    </r>
  </si>
  <si>
    <t>Both conditions nearly indistinguishable. Policy mean altitude 9.958m vs baseline 9.923m with difference of only 0.036m. All 10 policy episodes stay within 9.877–10.083m.</t>
  </si>
  <si>
    <t>Mean altitude (m)                            9.923        9.958     +0.036</t>
  </si>
  <si>
    <t>Mean altitude error (m)                      0.080        0.060     -0.020</t>
  </si>
  <si>
    <t>RMSE from target (m)                         0.087        0.096     +0.009</t>
  </si>
  <si>
    <t>Altitude std dev (m)                         0.024        0.070     +0.045</t>
  </si>
  <si>
    <t>Mean horiz distance (m)                      1.584        1.593     +0.009</t>
  </si>
  <si>
    <t>Max horiz distance (m)                       2.763        2.982          —</t>
  </si>
  <si>
    <t>Drift rate |m/s| mean                       0.0021       0.0054    +0.0033</t>
  </si>
  <si>
    <t>RMSE ratio (policy/baseline)                  1.00         1.11          —</t>
  </si>
  <si>
    <t>Transfer efficiency (%)                          —         89.3          —</t>
  </si>
  <si>
    <t xml:space="preserve">  vn (north): mean=+0.0035  std=0.0071  max|val|=0.0211</t>
  </si>
  <si>
    <t xml:space="preserve">  ve (east):  mean=-0.0013  std=0.0103  max|val|=0.0274</t>
  </si>
  <si>
    <t xml:space="preserve">  vd (down):  mean=+0.0021  std=0.0326  max|val|=0.1147</t>
  </si>
  <si>
    <t xml:space="preserve">  vn:  mean=+0.0035  std=0.0071  median=+0.0043  bins=40</t>
  </si>
  <si>
    <t xml:space="preserve">       x (bin centres): [-0.0135, -0.0126, -0.0117, -0.0108, -0.01] ... [0.0171, 0.018, 0.0189, 0.0198, 0.0206]</t>
  </si>
  <si>
    <t xml:space="preserve">       y (counts):      [11, 57, 40, 46, 111] ... [15, 15, 8, 25, 31]</t>
  </si>
  <si>
    <t xml:space="preserve">  ve:  mean=-0.0013  std=0.0103  median=-0.0009  bins=40</t>
  </si>
  <si>
    <t xml:space="preserve">       x (bin centres): [-0.0268, -0.0255, -0.0243, -0.023, -0.0218] ... [0.0168, 0.0181, 0.0193, 0.0206, 0.0218]</t>
  </si>
  <si>
    <t xml:space="preserve">       y (counts):      [48, 24, 15, 34, 37] ... [53, 86, 72, 81, 158]</t>
  </si>
  <si>
    <t xml:space="preserve">  vd:  mean=+0.0021  std=0.0326  median=+0.0036  bins=40</t>
  </si>
  <si>
    <t xml:space="preserve">       x (bin centres): [-0.1121, -0.107, -0.1019, -0.0967, -0.0916] ... [0.0678, 0.073, 0.0781, 0.0832, 0.0884]</t>
  </si>
  <si>
    <t xml:space="preserve">       y (counts):      [7, 9, 10, 14, 15] ... [41, 63, 16, 11, 15]</t>
  </si>
  <si>
    <t>Three things changed simultaneously and all three mattered:</t>
  </si>
  <si>
    <r>
      <t>More episodes (50→100) gave more starting position diversity.</t>
    </r>
    <r>
      <rPr>
        <sz val="11"/>
        <color theme="1"/>
        <rFont val="Calibri"/>
        <family val="2"/>
        <scheme val="minor"/>
      </rPr>
      <t xml:space="preserve"> 100 different ±2m random starts means the network saw a wider range of North/East position combinations.</t>
    </r>
  </si>
  <si>
    <r>
      <t>More epochs (500→800) allowed the network to fully converge</t>
    </r>
    <r>
      <rPr>
        <sz val="11"/>
        <color theme="1"/>
        <rFont val="Calibri"/>
        <family val="2"/>
        <scheme val="minor"/>
      </rPr>
      <t xml:space="preserve"> on the larger 50,000-sample dataset.</t>
    </r>
  </si>
  <si>
    <t>What happened why it jumped from 4.57× to 1.11×</t>
  </si>
  <si>
    <r>
      <t>Longer episodes (200→500 steps) was the most important change.</t>
    </r>
    <r>
      <rPr>
        <sz val="11"/>
        <color theme="1"/>
        <rFont val="Calibri"/>
        <family val="2"/>
        <scheme val="minor"/>
      </rPr>
      <t xml:space="preserve"> At 500 steps = 25 seconds, PX4 naturally drifts 0.1–0.3m during collection while its MPC corrects it. </t>
    </r>
  </si>
  <si>
    <t>This gave the network training examples of states at 9.7m, 9.8m, 10.1m, 10.2m  the exact states it encounters at test time. At 200 steps = 10 seconds, the drone barely moved from equilibrium.</t>
  </si>
  <si>
    <t>1044 steps (20.9%)</t>
  </si>
  <si>
    <t>All Episodes</t>
  </si>
  <si>
    <t>3765 steps (75.3%)</t>
  </si>
  <si>
    <t>Near-equilibrium corrections. This is dominant behavior</t>
  </si>
  <si>
    <t>1,2,3,6</t>
  </si>
  <si>
    <t>191 steps (3.8%)</t>
  </si>
  <si>
    <t>9,10</t>
  </si>
  <si>
    <t>Meaning</t>
  </si>
  <si>
    <t>Drone below target → policy commands UP</t>
  </si>
  <si>
    <t>Drone near target → small corrections</t>
  </si>
  <si>
    <t>Drone above target → policy commands DOWN</t>
  </si>
  <si>
    <t>Ascending commands. Drone slightly below equilibrium</t>
  </si>
  <si>
    <t>Descent command. Drone slightly above equilibrium</t>
  </si>
  <si>
    <t>Position vs Target</t>
  </si>
  <si>
    <t xml:space="preserve"> Policy Response</t>
  </si>
  <si>
    <t>small upward corrections</t>
  </si>
  <si>
    <t>central and balanced.</t>
  </si>
  <si>
    <t>strong ascend corrections</t>
  </si>
  <si>
    <t>small downard corrections</t>
  </si>
  <si>
    <r>
      <t>What it means:</t>
    </r>
    <r>
      <rPr>
        <sz val="11"/>
        <color theme="1"/>
        <rFont val="Calibri"/>
        <family val="2"/>
        <scheme val="minor"/>
      </rPr>
      <t xml:space="preserve"> The policy commanded the drone to ascend (go up).</t>
    </r>
  </si>
  <si>
    <r>
      <t>In plain language:</t>
    </r>
    <r>
      <rPr>
        <sz val="11"/>
        <color theme="1"/>
        <rFont val="Calibri"/>
        <family val="2"/>
        <scheme val="minor"/>
      </rPr>
      <t xml:space="preserve"> The drone drifted down. The policy tried to bring it back up.</t>
    </r>
  </si>
  <si>
    <r>
      <t>Why:</t>
    </r>
    <r>
      <rPr>
        <sz val="11"/>
        <color theme="1"/>
        <rFont val="Calibri"/>
        <family val="2"/>
        <scheme val="minor"/>
      </rPr>
      <t xml:space="preserve"> The drone was below the target altitude. To correct this, the policy issued negative vd commands telling the drone to move upward.</t>
    </r>
  </si>
  <si>
    <r>
      <t>What it means:</t>
    </r>
    <r>
      <rPr>
        <sz val="11"/>
        <color theme="1"/>
        <rFont val="Calibri"/>
        <family val="2"/>
        <scheme val="minor"/>
      </rPr>
      <t xml:space="preserve"> The policy issued small near-zero corrections in both directions.</t>
    </r>
  </si>
  <si>
    <r>
      <t>In plain language:</t>
    </r>
    <r>
      <rPr>
        <sz val="11"/>
        <color theme="1"/>
        <rFont val="Calibri"/>
        <family val="2"/>
        <scheme val="minor"/>
      </rPr>
      <t xml:space="preserve"> The drone was near target. The policy made small gentle adjustments. This is the dominant and correct behaviour — 75.3% of all steps.</t>
    </r>
  </si>
  <si>
    <r>
      <t>Why the peak sits at +0.002 m/s and not exactly zero:</t>
    </r>
    <r>
      <rPr>
        <sz val="11"/>
        <color theme="1"/>
        <rFont val="Calibri"/>
        <family val="2"/>
        <scheme val="minor"/>
      </rPr>
      <t xml:space="preserve"> During data collection, PX4 settled at approximately 9.9m due to the barometric offset. TARGET_D was set to the actual settled position. At test time when the drone is near 9.9m, the policy outputs a tiny positive vd </t>
    </r>
  </si>
  <si>
    <t>a very gentle downward nudge — because that is what it learned as the equilibrium correction. This is the barometric offset signature visible in the histogram.</t>
  </si>
  <si>
    <r>
      <t>What it means:</t>
    </r>
    <r>
      <rPr>
        <sz val="11"/>
        <color theme="1"/>
        <rFont val="Calibri"/>
        <family val="2"/>
        <scheme val="minor"/>
      </rPr>
      <t xml:space="preserve"> The policy commanded the drone to descend (go down) with stronger than usual force.</t>
    </r>
  </si>
  <si>
    <r>
      <t>Why:</t>
    </r>
    <r>
      <rPr>
        <sz val="11"/>
        <color theme="1"/>
        <rFont val="Calibri"/>
        <family val="2"/>
        <scheme val="minor"/>
      </rPr>
      <t xml:space="preserve"> The drone was above the target altitude. The policy detected this and issued positive vd commands — telling the drone to move downward.</t>
    </r>
  </si>
  <si>
    <r>
      <t>In plain language:</t>
    </r>
    <r>
      <rPr>
        <sz val="11"/>
        <color theme="1"/>
        <rFont val="Calibri"/>
        <family val="2"/>
        <scheme val="minor"/>
      </rPr>
      <t xml:space="preserve"> The drone drifted up. The policy pushed it back down. These corrections were brief — only 3.8% of all steps — confirming the drone rarely strayed far above target in this run.</t>
    </r>
  </si>
  <si>
    <r>
      <t>Source:</t>
    </r>
    <r>
      <rPr>
        <sz val="11"/>
        <color theme="1"/>
        <rFont val="Calibri"/>
        <family val="2"/>
        <scheme val="minor"/>
      </rPr>
      <t xml:space="preserve"> Episodes 2 and 7 contributed brief moments here. These are episodes where the drone drifted slightly above 9.9m equilibrium and the policy responded with a gentle descent correction to bring it back.</t>
    </r>
  </si>
  <si>
    <r>
      <t>Why:</t>
    </r>
    <r>
      <rPr>
        <sz val="11"/>
        <color theme="1"/>
        <rFont val="Calibri"/>
        <family val="2"/>
        <scheme val="minor"/>
      </rPr>
      <t xml:space="preserve"> The drone was near the equilibrium altitude of approximately 9.9m. No large correction was needed just gentle adjustments to maintain hover.</t>
    </r>
  </si>
  <si>
    <r>
      <t>Source:</t>
    </r>
    <r>
      <rPr>
        <sz val="11"/>
        <color theme="1"/>
        <rFont val="Calibri"/>
        <family val="2"/>
        <scheme val="minor"/>
      </rPr>
      <t xml:space="preserve"> All 10 episodes contributed to this region. Episodes 4 and 7 are the purest examples 100% of their 500 steps fell in the central region. Every step they flew, the drone was near target and the policy output only small balanced corrections.</t>
    </r>
  </si>
  <si>
    <r>
      <t>Source:</t>
    </r>
    <r>
      <rPr>
        <sz val="11"/>
        <color theme="1"/>
        <rFont val="Calibri"/>
        <family val="2"/>
        <scheme val="minor"/>
      </rPr>
      <t xml:space="preserve"> Episodes 9 and 10 are the primary contributors. Episode 9 had mean altitude 9.894m and episode 10 had 9.877m  both below the 9.9m equilibrium. The policy correctly detected this and spent 20.9%f their steps issuing upward commands respectively.</t>
    </r>
  </si>
  <si>
    <t>Summary</t>
  </si>
  <si>
    <t xml:space="preserve">The vd command distribution is dominated by the central peak (75.3%) confirming the policy operates primarily in the near-equilibrium regime with small balanced corrections.
</t>
  </si>
  <si>
    <t xml:space="preserve"> The left tail (20.9%) reflects correct ascending corrections from episodes 9 and 10 which drifted slightly below target. The right tail (3.8%) reflects brief but correct descending corrections from episodes </t>
  </si>
  <si>
    <t xml:space="preserve">that temporarily exceeded the equilibrium altitude. Unlike the previous training configuration where left tail commands represented wrong-direction corrections from above-target episodes, the current distribution shows </t>
  </si>
  <si>
    <t>directionally correct policy responses across all flight regimes — consistent with the 89.3% transfer efficiency achieved."</t>
  </si>
  <si>
    <t>SITL Collection with Episode 100 --Steps 500 and Epoch 800</t>
  </si>
  <si>
    <t>HITL Collection with Episode 100 --Steps 500 and Epoch 800</t>
  </si>
  <si>
    <t>Mean altitude (m)                            9.896        9.916     +0.021</t>
  </si>
  <si>
    <t>Mean altitude error (m)                      0.104        0.098     -0.006</t>
  </si>
  <si>
    <t>RMSE from target (m)                         0.111        0.144     +0.034</t>
  </si>
  <si>
    <t>Altitude std dev (m)                         0.032        0.087     +0.056</t>
  </si>
  <si>
    <t>Mean horiz distance (m)                      1.585        1.367     -0.218</t>
  </si>
  <si>
    <t>Max horiz distance (m)                       2.728        2.681          —</t>
  </si>
  <si>
    <t>Drift rate |m/s| mean                       0.0032       0.0071    +0.0038</t>
  </si>
  <si>
    <t>RMSE ratio (policy/baseline)                  1.00         1.30          —</t>
  </si>
  <si>
    <t>Transfer efficiency (%)                          —         69.7          —</t>
  </si>
  <si>
    <t>1       9.782  0.0822   0.2331    1.848    1.905    9.937  0.0743   0.0974    1.615    1.843   +0.0060</t>
  </si>
  <si>
    <t>2       9.949  0.0157   0.0536    1.004    1.032    9.943  0.1594   0.1692    1.077    1.195   +0.0178</t>
  </si>
  <si>
    <t>3       9.943  0.0118   0.0578    1.928    1.960   10.063  0.1062   0.1233    1.639    1.975   +0.0122</t>
  </si>
  <si>
    <t>4       9.793  0.0416   0.2108    2.294    2.357    9.870  0.0388   0.1356    2.199    2.353   -0.0033</t>
  </si>
  <si>
    <t>5       9.938  0.0299   0.0690    0.933    0.974    9.759  0.0533   0.2465    0.908    0.943   -0.0005</t>
  </si>
  <si>
    <t>6       9.852  0.0227   0.1495    2.683    2.728    9.803  0.0848   0.2145    2.233    2.681   -0.0103</t>
  </si>
  <si>
    <t>7       9.992  0.0214   0.0227    1.748    1.839    9.974  0.1242   0.1269    1.214    1.780   +0.0097</t>
  </si>
  <si>
    <t>8       9.877  0.0549   0.1347    1.795    1.846   10.010  0.0719   0.0725    1.495    1.813   -0.0014</t>
  </si>
  <si>
    <t>9       9.863  0.0224   0.1393    0.767    0.856    9.921  0.0887   0.1189    0.348    0.781   -0.0009</t>
  </si>
  <si>
    <t>10      9.968  0.0126   0.0345    0.850    0.899    9.885  0.0708   0.1354    0.942    1.008   -0.0085</t>
  </si>
  <si>
    <t>Mean    9.896  0.0315   0.1105    1.585    1.640    9.916  0.0872   0.1440    1.367    1.637    0.0071</t>
  </si>
  <si>
    <t xml:space="preserve">  vn (north): mean=-0.0045  std=0.0067  max|val|=0.0236</t>
  </si>
  <si>
    <t xml:space="preserve">  ve (east):  mean=+0.0013  std=0.0077  max|val|=0.0176</t>
  </si>
  <si>
    <t xml:space="preserve">  vd (down):  mean=-0.0057  std=0.0344  max|val|=0.1221</t>
  </si>
  <si>
    <t xml:space="preserve">  vn:  mean=-0.0045  std=0.0067  median=-0.0033  bins=40</t>
  </si>
  <si>
    <t xml:space="preserve">       x (bin centres): [-0.0231, -0.0222, -0.0213, -0.0204, -0.0195] ... [0.0087, 0.0096, 0.0105, 0.0114, 0.0123]</t>
  </si>
  <si>
    <t xml:space="preserve">       y (counts):      [1, 0, 0, 1, 1] ... [6, 1, 2, 1, 3]</t>
  </si>
  <si>
    <t xml:space="preserve">  ve:  mean=+0.0013  std=0.0077  median=+0.0007  bins=40</t>
  </si>
  <si>
    <t xml:space="preserve">       x (bin centres): [-0.0159, -0.0151, -0.0142, -0.0134, -0.0125] ... [0.0138, 0.0146, 0.0155, 0.0163, 0.0172]</t>
  </si>
  <si>
    <t xml:space="preserve">       y (counts):      [12, 30, 20, 42, 54] ... [82, 75, 68, 134, 37]</t>
  </si>
  <si>
    <t xml:space="preserve">  vd:  mean=-0.0057  std=0.0344  median=-0.0049  bins=40</t>
  </si>
  <si>
    <t xml:space="preserve">       x (bin centres): [-0.1188, -0.1127, -0.1066, -0.1005, -0.0944] ... [0.0947, 0.1008, 0.1069, 0.113, 0.119]</t>
  </si>
  <si>
    <t xml:space="preserve">       y (counts):      [13, 8, 9, 10, 7] ... [7, 7, 9, 7, 8]</t>
  </si>
  <si>
    <t>: PX4 baseline is 0.08698</t>
  </si>
  <si>
    <t xml:space="preserve">: BC Policy is 0.09627m with ratio of 1.1x. </t>
  </si>
  <si>
    <t>RMSE 1.106806 m is 1.1x which is much better compared to previous result.</t>
  </si>
  <si>
    <t>: PX4 baseline is 0.1105m</t>
  </si>
  <si>
    <t xml:space="preserve">: BC Policy is 0.14402  with ratio of 1.1x. </t>
  </si>
  <si>
    <t>RMSE 1.30 m is 1.3x which is slight worse compared to SITL result. Nevertheless, considering this is running full HITL on an actual px4</t>
  </si>
  <si>
    <t>Efficiency Calculation</t>
  </si>
  <si>
    <t>Baseline_rmse</t>
  </si>
  <si>
    <t>Policy_rmse</t>
  </si>
  <si>
    <t>gap = policy _rmse-bl_rmse</t>
  </si>
  <si>
    <t>normalise = gap/bl_rmse</t>
  </si>
  <si>
    <t xml:space="preserve">RMSE ratio slightly increased from 1.10 × to 1.30×. Transfer efficiency 70%. </t>
  </si>
  <si>
    <t>Value</t>
  </si>
  <si>
    <t>transfer_efff % = 100 x (1-norm)</t>
  </si>
  <si>
    <t>Mean altitude (m)                            9.919        9.913     -0.007</t>
  </si>
  <si>
    <t>Mean altitude error (m)                      0.083        0.088     +0.005</t>
  </si>
  <si>
    <t>RMSE from target (m)                         0.092        0.109     +0.017</t>
  </si>
  <si>
    <t>Altitude std dev (m)                         0.027        0.054     +0.027</t>
  </si>
  <si>
    <t>Mean horiz distance (m)                      1.596        1.525     -0.071</t>
  </si>
  <si>
    <t>Max horiz distance (m)                       2.755        2.777          —</t>
  </si>
  <si>
    <t>Drift rate |m/s| mean                       0.0023       0.0039    +0.0016</t>
  </si>
  <si>
    <t>RMSE ratio (policy/baseline)                  1.00         1.19          —</t>
  </si>
  <si>
    <t>Transfer efficiency (%)                          —         81.5          —</t>
  </si>
  <si>
    <t>1       9.805  0.0270   0.1968    1.879    1.934    9.884  0.1273   0.1722    1.889    2.077   -0.0119</t>
  </si>
  <si>
    <t>2       9.803  0.0322   0.1999    1.023    1.062    9.873  0.0368   0.1322    1.288    1.846   -0.0020</t>
  </si>
  <si>
    <t>3       9.885  0.0117   0.1153    1.946    2.033    9.917  0.0287   0.0880    1.622    2.062   +0.0009</t>
  </si>
  <si>
    <t>4       9.982  0.0177   0.0250    2.271    2.319    9.944  0.0584   0.0807    2.116    2.301   +0.0047</t>
  </si>
  <si>
    <t>5      10.001  0.0415   0.0415    0.935    0.986    9.844  0.0491   0.1640    0.682    1.154   -0.0048</t>
  </si>
  <si>
    <t>6      10.010  0.0215   0.0237    2.692    2.755    9.962  0.0488   0.0621    2.468    2.777   -0.0016</t>
  </si>
  <si>
    <t>7       9.854  0.0500   0.1544    1.770    1.905    9.908  0.0768   0.1201    1.686    2.181   +0.0064</t>
  </si>
  <si>
    <t>8       9.944  0.0139   0.0580    1.789    1.852    9.947  0.0240   0.0581    1.654    1.723   +0.0021</t>
  </si>
  <si>
    <t>9       9.944  0.0199   0.0595    0.782    0.817    9.844  0.0350   0.1598    0.792    0.886   -0.0033</t>
  </si>
  <si>
    <t>10      9.967  0.0302   0.0447    0.876    0.915   10.003  0.0517   0.0518    1.053    1.285   +0.0008</t>
  </si>
  <si>
    <t>Mean    9.919  0.0266   0.0919    1.596    1.658    9.913  0.0537   0.1089    1.525    1.829    0.0039</t>
  </si>
  <si>
    <t xml:space="preserve">  vn (north): mean=+0.0028  std=0.0074  max|val|=0.0249</t>
  </si>
  <si>
    <t xml:space="preserve">  ve (east):  mean=-0.0035  std=0.0079  max|val|=0.0262</t>
  </si>
  <si>
    <t xml:space="preserve">  vd (down):  mean=-0.0112  std=0.0494  max|val|=0.1980</t>
  </si>
  <si>
    <t xml:space="preserve">  vn:  mean=+0.0028  std=0.0074  median=+0.0032  bins=40</t>
  </si>
  <si>
    <t xml:space="preserve">       x (bin centres): [-0.0165, -0.0154, -0.0144, -0.0133, -0.0123] ... [0.0202, 0.0212, 0.0223, 0.0233, 0.0244]</t>
  </si>
  <si>
    <t xml:space="preserve">       y (counts):      [4, 4, 14, 29, 54] ... [24, 24, 15, 15, 14]</t>
  </si>
  <si>
    <t xml:space="preserve">  ve:  mean=-0.0035  std=0.0079  median=-0.0024  bins=40</t>
  </si>
  <si>
    <t xml:space="preserve">       x (bin centres): [-0.0257, -0.0247, -0.0237, -0.0227, -0.0217] ... [0.0092, 0.0102, 0.0112, 0.0122, 0.0132]</t>
  </si>
  <si>
    <t xml:space="preserve">       y (counts):      [42, 29, 17, 18, 26] ... [58, 49, 48, 13, 5]</t>
  </si>
  <si>
    <t xml:space="preserve">  vd:  mean=-0.0112  std=0.0494  median=-0.0173  bins=40</t>
  </si>
  <si>
    <t xml:space="preserve">       x (bin centres): [-0.1937, -0.1853, -0.1768, -0.1683, -0.1598] ... [0.1033, 0.1118, 0.1202, 0.1287, 0.1372]</t>
  </si>
  <si>
    <t xml:space="preserve">       y (counts):      [9, 11, 16, 11, 9] ... [6, 2, 2, 3, 16]</t>
  </si>
  <si>
    <t>HITL Collection with Episode 200 --Steps 500 and Epoch 800</t>
  </si>
  <si>
    <t>: PX4 baseline is 0.09188</t>
  </si>
  <si>
    <t xml:space="preserve">: BC Policy is 0.1089  with ratio of 1.1x. </t>
  </si>
  <si>
    <t xml:space="preserve">RMSE 1.18 m is 1.1x which is better compared to previous HITL result. </t>
  </si>
  <si>
    <t xml:space="preserve">RMSE ratio decreased from 1.3× to 1.18×. Transfer efficiency 81%.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</si>
</sst>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5"/>
      <color theme="1"/>
      <name val="Segoe UI"/>
      <family val="2"/>
    </font>
    <font>
      <b/>
      <sz val="12"/>
      <color theme="1"/>
      <name val="Calibri"/>
      <family val="2"/>
      <scheme val="minor"/>
    </font>
    <font>
      <b/>
      <sz val="14"/>
      <color theme="1"/>
      <name val="Calibri"/>
      <family val="2"/>
      <scheme val="minor"/>
    </font>
    <font>
      <sz val="11"/>
      <color theme="1"/>
      <name val="Segoe UI"/>
      <family val="2"/>
    </font>
    <font>
      <sz val="12"/>
      <color theme="1"/>
      <name val="Segoe UI"/>
      <family val="2"/>
    </font>
    <font>
      <sz val="12"/>
      <color theme="1"/>
      <name val="Calibri"/>
      <family val="2"/>
      <scheme val="minor"/>
    </font>
    <font>
      <b/>
      <sz val="12"/>
      <color theme="1"/>
      <name val="Segoe UI"/>
      <family val="2"/>
    </font>
    <font>
      <b/>
      <sz val="16"/>
      <color theme="1"/>
      <name val="Calibri"/>
      <family val="2"/>
      <scheme val="minor"/>
    </font>
    <font>
      <b/>
      <sz val="14"/>
      <color rgb="FF00B0F0"/>
      <name val="Calibri"/>
      <family val="2"/>
      <scheme val="minor"/>
    </font>
    <font>
      <b/>
      <sz val="11"/>
      <color rgb="FF00B0F0"/>
      <name val="Calibri"/>
      <family val="2"/>
      <scheme val="minor"/>
    </font>
    <font>
      <b/>
      <sz val="11"/>
      <color rgb="FF0070C0"/>
      <name val="Calibri"/>
      <family val="2"/>
      <scheme val="minor"/>
    </font>
    <font>
      <b/>
      <sz val="11"/>
      <color rgb="FFFF0000"/>
      <name val="Calibri"/>
      <family val="2"/>
      <scheme val="minor"/>
    </font>
    <font>
      <b/>
      <sz val="11"/>
      <color theme="5" tint="-0.249977111117893"/>
      <name val="Calibri"/>
      <family val="2"/>
      <scheme val="minor"/>
    </font>
    <font>
      <b/>
      <sz val="11"/>
      <color rgb="FF00B050"/>
      <name val="Calibri"/>
      <family val="2"/>
      <scheme val="minor"/>
    </font>
    <font>
      <b/>
      <sz val="13.5"/>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41">
    <xf numFmtId="0" fontId="0" fillId="0" borderId="0" xfId="0"/>
    <xf numFmtId="0" fontId="2" fillId="0" borderId="0" xfId="0" applyFont="1" applyAlignment="1">
      <alignment vertical="center" wrapText="1"/>
    </xf>
    <xf numFmtId="0" fontId="0" fillId="0" borderId="0" xfId="0" applyAlignment="1">
      <alignment horizontal="center"/>
    </xf>
    <xf numFmtId="0" fontId="1" fillId="0" borderId="0" xfId="0" applyFont="1"/>
    <xf numFmtId="0" fontId="1" fillId="0" borderId="0" xfId="0" applyFont="1" applyAlignment="1">
      <alignment horizontal="center"/>
    </xf>
    <xf numFmtId="0" fontId="4" fillId="0" borderId="0" xfId="0" applyFont="1"/>
    <xf numFmtId="0" fontId="6" fillId="0" borderId="0" xfId="0" applyFont="1"/>
    <xf numFmtId="0" fontId="7" fillId="0" borderId="0" xfId="0" applyFont="1"/>
    <xf numFmtId="0" fontId="9" fillId="0" borderId="0" xfId="0" applyFont="1"/>
    <xf numFmtId="0" fontId="0" fillId="0" borderId="0" xfId="0" applyAlignment="1">
      <alignment wrapText="1"/>
    </xf>
    <xf numFmtId="0" fontId="3" fillId="0" borderId="0" xfId="0" applyFont="1"/>
    <xf numFmtId="0" fontId="10"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xf>
    <xf numFmtId="0" fontId="0" fillId="0" borderId="0" xfId="0" applyAlignment="1">
      <alignment horizontal="left"/>
    </xf>
    <xf numFmtId="0" fontId="11" fillId="0" borderId="0" xfId="0" applyFont="1"/>
    <xf numFmtId="0" fontId="1" fillId="0" borderId="0" xfId="0" applyFont="1" applyAlignment="1">
      <alignment horizontal="right"/>
    </xf>
    <xf numFmtId="0" fontId="1" fillId="0" borderId="0" xfId="0" applyFont="1" applyAlignment="1">
      <alignment horizontal="center" vertical="center"/>
    </xf>
    <xf numFmtId="0" fontId="1" fillId="0" borderId="0" xfId="0" applyFont="1" applyAlignment="1">
      <alignment horizontal="right" vertical="center"/>
    </xf>
    <xf numFmtId="49" fontId="0" fillId="0" borderId="0" xfId="0" applyNumberFormat="1" applyAlignment="1">
      <alignment vertical="center"/>
    </xf>
    <xf numFmtId="0" fontId="1" fillId="0" borderId="0" xfId="0" applyFont="1" applyAlignment="1">
      <alignment vertical="center"/>
    </xf>
    <xf numFmtId="49" fontId="0" fillId="0" borderId="0" xfId="0" applyNumberFormat="1" applyAlignment="1">
      <alignment horizontal="center"/>
    </xf>
    <xf numFmtId="49" fontId="12" fillId="0" borderId="0" xfId="0" applyNumberFormat="1" applyFont="1" applyAlignment="1">
      <alignment horizontal="center"/>
    </xf>
    <xf numFmtId="49" fontId="13" fillId="0" borderId="0" xfId="0" applyNumberFormat="1" applyFont="1" applyAlignment="1">
      <alignment horizontal="center"/>
    </xf>
    <xf numFmtId="49" fontId="14" fillId="0" borderId="0" xfId="0" applyNumberFormat="1" applyFont="1" applyAlignment="1">
      <alignment horizontal="center"/>
    </xf>
    <xf numFmtId="49" fontId="0" fillId="0" borderId="0" xfId="0" applyNumberFormat="1" applyAlignment="1">
      <alignment horizontal="center" vertical="center"/>
    </xf>
    <xf numFmtId="0" fontId="0" fillId="0" borderId="0" xfId="0" applyAlignment="1">
      <alignment vertical="top" wrapText="1"/>
    </xf>
    <xf numFmtId="0" fontId="0" fillId="0" borderId="0" xfId="0" applyAlignment="1">
      <alignment vertical="top"/>
    </xf>
    <xf numFmtId="0" fontId="5" fillId="0" borderId="0" xfId="0" applyFont="1"/>
    <xf numFmtId="0" fontId="13" fillId="0" borderId="0" xfId="0" applyFont="1" applyAlignment="1">
      <alignment horizontal="center"/>
    </xf>
    <xf numFmtId="0" fontId="15" fillId="0" borderId="0" xfId="0" applyFont="1" applyAlignment="1">
      <alignment horizontal="center"/>
    </xf>
    <xf numFmtId="0" fontId="15" fillId="0" borderId="0" xfId="0" applyFont="1"/>
    <xf numFmtId="0" fontId="13" fillId="0" borderId="0" xfId="0" applyFont="1"/>
    <xf numFmtId="0" fontId="0" fillId="2" borderId="0" xfId="0" applyFill="1"/>
    <xf numFmtId="0" fontId="16" fillId="0" borderId="0" xfId="0" applyFont="1" applyAlignment="1">
      <alignment vertical="center"/>
    </xf>
    <xf numFmtId="49" fontId="13" fillId="0" borderId="0" xfId="0" applyNumberFormat="1" applyFont="1" applyAlignment="1">
      <alignment horizontal="center" vertical="center"/>
    </xf>
    <xf numFmtId="49" fontId="12" fillId="0" borderId="0" xfId="0" applyNumberFormat="1" applyFont="1" applyAlignment="1">
      <alignment horizontal="center" vertical="center"/>
    </xf>
    <xf numFmtId="49" fontId="14" fillId="0" borderId="0" xfId="0" applyNumberFormat="1" applyFont="1" applyAlignment="1">
      <alignment horizontal="center" vertical="center"/>
    </xf>
    <xf numFmtId="0" fontId="17" fillId="0" borderId="0" xfId="0" applyFont="1" applyAlignment="1">
      <alignment horizontal="center"/>
    </xf>
  </cellXfs>
  <cellStyles count="1">
    <cellStyle name="Normal" xfId="0" builtinId="0"/>
  </cellStyles>
  <dxfs count="12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horizontal="general"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0" formatCode="@"/>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0" formatCode="@"/>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b="1"/>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Episode Altitude'!$C$5</c:f>
              <c:strCache>
                <c:ptCount val="1"/>
                <c:pt idx="0">
                  <c:v>PX4 Baseline </c:v>
                </c:pt>
              </c:strCache>
            </c:strRef>
          </c:tx>
          <c:spPr>
            <a:solidFill>
              <a:schemeClr val="accent1"/>
            </a:solidFill>
            <a:ln>
              <a:noFill/>
            </a:ln>
            <a:effectLst/>
          </c:spPr>
          <c:invertIfNegative val="0"/>
          <c:val>
            <c:numRef>
              <c:f>'Mean Episode Altitude'!$C$6:$C$15</c:f>
              <c:numCache>
                <c:formatCode>General</c:formatCode>
                <c:ptCount val="10"/>
                <c:pt idx="0">
                  <c:v>9.7789999999999999</c:v>
                </c:pt>
                <c:pt idx="1">
                  <c:v>9.9260000000000002</c:v>
                </c:pt>
                <c:pt idx="2">
                  <c:v>9.93</c:v>
                </c:pt>
                <c:pt idx="3">
                  <c:v>9.8469999999999995</c:v>
                </c:pt>
                <c:pt idx="4">
                  <c:v>9.923</c:v>
                </c:pt>
                <c:pt idx="5">
                  <c:v>9.9559999999999995</c:v>
                </c:pt>
                <c:pt idx="6">
                  <c:v>9.9420000000000002</c:v>
                </c:pt>
                <c:pt idx="7">
                  <c:v>9.9179999999999993</c:v>
                </c:pt>
                <c:pt idx="8">
                  <c:v>9.9529999999999994</c:v>
                </c:pt>
                <c:pt idx="9">
                  <c:v>9.8469999999999995</c:v>
                </c:pt>
              </c:numCache>
            </c:numRef>
          </c:val>
          <c:extLst>
            <c:ext xmlns:c16="http://schemas.microsoft.com/office/drawing/2014/chart" uri="{C3380CC4-5D6E-409C-BE32-E72D297353CC}">
              <c16:uniqueId val="{00000000-85C7-4B29-B709-650B925C2361}"/>
            </c:ext>
          </c:extLst>
        </c:ser>
        <c:ser>
          <c:idx val="1"/>
          <c:order val="1"/>
          <c:tx>
            <c:strRef>
              <c:f>'Mean Episode Altitude'!$D$5</c:f>
              <c:strCache>
                <c:ptCount val="1"/>
                <c:pt idx="0">
                  <c:v>BC policy</c:v>
                </c:pt>
              </c:strCache>
            </c:strRef>
          </c:tx>
          <c:spPr>
            <a:solidFill>
              <a:schemeClr val="accent2"/>
            </a:solidFill>
            <a:ln>
              <a:noFill/>
            </a:ln>
            <a:effectLst/>
          </c:spPr>
          <c:invertIfNegative val="0"/>
          <c:val>
            <c:numRef>
              <c:f>'Mean Episode Altitude'!$D$6:$D$15</c:f>
              <c:numCache>
                <c:formatCode>General</c:formatCode>
                <c:ptCount val="10"/>
                <c:pt idx="0">
                  <c:v>9.5640000000000001</c:v>
                </c:pt>
                <c:pt idx="1">
                  <c:v>10.119999999999999</c:v>
                </c:pt>
                <c:pt idx="2">
                  <c:v>9.9220000000000006</c:v>
                </c:pt>
                <c:pt idx="3">
                  <c:v>9.4109999999999996</c:v>
                </c:pt>
                <c:pt idx="4">
                  <c:v>9.641</c:v>
                </c:pt>
                <c:pt idx="5">
                  <c:v>10.37</c:v>
                </c:pt>
                <c:pt idx="6">
                  <c:v>9.6780000000000008</c:v>
                </c:pt>
                <c:pt idx="7">
                  <c:v>10.321</c:v>
                </c:pt>
                <c:pt idx="8">
                  <c:v>10.77</c:v>
                </c:pt>
                <c:pt idx="9">
                  <c:v>10.263</c:v>
                </c:pt>
              </c:numCache>
            </c:numRef>
          </c:val>
          <c:extLst>
            <c:ext xmlns:c16="http://schemas.microsoft.com/office/drawing/2014/chart" uri="{C3380CC4-5D6E-409C-BE32-E72D297353CC}">
              <c16:uniqueId val="{00000001-85C7-4B29-B709-650B925C2361}"/>
            </c:ext>
          </c:extLst>
        </c:ser>
        <c:ser>
          <c:idx val="2"/>
          <c:order val="2"/>
          <c:tx>
            <c:strRef>
              <c:f>'Mean Episode Altitude'!$E$5</c:f>
              <c:strCache>
                <c:ptCount val="1"/>
                <c:pt idx="0">
                  <c:v>Baseline</c:v>
                </c:pt>
              </c:strCache>
            </c:strRef>
          </c:tx>
          <c:spPr>
            <a:solidFill>
              <a:schemeClr val="accent3"/>
            </a:solidFill>
            <a:ln>
              <a:noFill/>
            </a:ln>
            <a:effectLst/>
          </c:spPr>
          <c:invertIfNegative val="0"/>
          <c:val>
            <c:numRef>
              <c:f>'Mean Episode Altitude'!$E$6:$E$15</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2-85C7-4B29-B709-650B925C2361}"/>
            </c:ext>
          </c:extLst>
        </c:ser>
        <c:dLbls>
          <c:showLegendKey val="0"/>
          <c:showVal val="0"/>
          <c:showCatName val="0"/>
          <c:showSerName val="0"/>
          <c:showPercent val="0"/>
          <c:showBubbleSize val="0"/>
        </c:dLbls>
        <c:gapWidth val="219"/>
        <c:overlap val="-27"/>
        <c:axId val="1340385472"/>
        <c:axId val="1340386432"/>
      </c:barChart>
      <c:catAx>
        <c:axId val="13403854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6432"/>
        <c:crosses val="autoZero"/>
        <c:auto val="1"/>
        <c:lblAlgn val="ctr"/>
        <c:lblOffset val="100"/>
        <c:noMultiLvlLbl val="0"/>
      </c:catAx>
      <c:valAx>
        <c:axId val="13403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'Mean Episode Altitude'!$C$5</c:f>
              <c:strCache>
                <c:ptCount val="1"/>
                <c:pt idx="0">
                  <c:v>PX4 Baseline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'Mean Episode Altitude'!$C$6:$C$15</c:f>
              <c:numCache>
                <c:formatCode>General</c:formatCode>
                <c:ptCount val="10"/>
                <c:pt idx="0">
                  <c:v>9.7789999999999999</c:v>
                </c:pt>
                <c:pt idx="1">
                  <c:v>9.9260000000000002</c:v>
                </c:pt>
                <c:pt idx="2">
                  <c:v>9.93</c:v>
                </c:pt>
                <c:pt idx="3">
                  <c:v>9.8469999999999995</c:v>
                </c:pt>
                <c:pt idx="4">
                  <c:v>9.923</c:v>
                </c:pt>
                <c:pt idx="5">
                  <c:v>9.9559999999999995</c:v>
                </c:pt>
                <c:pt idx="6">
                  <c:v>9.9420000000000002</c:v>
                </c:pt>
                <c:pt idx="7">
                  <c:v>9.9179999999999993</c:v>
                </c:pt>
                <c:pt idx="8">
                  <c:v>9.9529999999999994</c:v>
                </c:pt>
                <c:pt idx="9">
                  <c:v>9.8469999999999995</c:v>
                </c:pt>
              </c:numCache>
            </c:numRef>
          </c:val>
          <c:smooth val="0"/>
          <c:extLst>
            <c:ext xmlns:c16="http://schemas.microsoft.com/office/drawing/2014/chart" uri="{C3380CC4-5D6E-409C-BE32-E72D297353CC}">
              <c16:uniqueId val="{00000000-ED5F-4FF2-B958-5CE86AAE2EB2}"/>
            </c:ext>
          </c:extLst>
        </c:ser>
        <c:ser>
          <c:idx val="1"/>
          <c:order val="1"/>
          <c:tx>
            <c:strRef>
              <c:f>'Mean Episode Altitude'!$D$5</c:f>
              <c:strCache>
                <c:ptCount val="1"/>
                <c:pt idx="0">
                  <c:v>BC policy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'Mean Episode Altitude'!$D$6:$D$15</c:f>
              <c:numCache>
                <c:formatCode>General</c:formatCode>
                <c:ptCount val="10"/>
                <c:pt idx="0">
                  <c:v>9.5640000000000001</c:v>
                </c:pt>
                <c:pt idx="1">
                  <c:v>10.119999999999999</c:v>
                </c:pt>
                <c:pt idx="2">
                  <c:v>9.9220000000000006</c:v>
                </c:pt>
                <c:pt idx="3">
                  <c:v>9.4109999999999996</c:v>
                </c:pt>
                <c:pt idx="4">
                  <c:v>9.641</c:v>
                </c:pt>
                <c:pt idx="5">
                  <c:v>10.37</c:v>
                </c:pt>
                <c:pt idx="6">
                  <c:v>9.6780000000000008</c:v>
                </c:pt>
                <c:pt idx="7">
                  <c:v>10.321</c:v>
                </c:pt>
                <c:pt idx="8">
                  <c:v>10.77</c:v>
                </c:pt>
                <c:pt idx="9">
                  <c:v>10.263</c:v>
                </c:pt>
              </c:numCache>
            </c:numRef>
          </c:val>
          <c:smooth val="0"/>
          <c:extLst>
            <c:ext xmlns:c16="http://schemas.microsoft.com/office/drawing/2014/chart" uri="{C3380CC4-5D6E-409C-BE32-E72D297353CC}">
              <c16:uniqueId val="{00000001-ED5F-4FF2-B958-5CE86AAE2EB2}"/>
            </c:ext>
          </c:extLst>
        </c:ser>
        <c:ser>
          <c:idx val="2"/>
          <c:order val="2"/>
          <c:tx>
            <c:strRef>
              <c:f>'Mean Episode Altitude'!$E$5</c:f>
              <c:strCache>
                <c:ptCount val="1"/>
                <c:pt idx="0">
                  <c:v>Baseline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'Mean Episode Altitude'!$E$6:$E$15</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smooth val="0"/>
          <c:extLst>
            <c:ext xmlns:c16="http://schemas.microsoft.com/office/drawing/2014/chart" uri="{C3380CC4-5D6E-409C-BE32-E72D297353CC}">
              <c16:uniqueId val="{00000002-ED5F-4FF2-B958-5CE86AAE2EB2}"/>
            </c:ext>
          </c:extLst>
        </c:ser>
        <c:dLbls>
          <c:showLegendKey val="0"/>
          <c:showVal val="0"/>
          <c:showCatName val="0"/>
          <c:showSerName val="0"/>
          <c:showPercent val="0"/>
          <c:showBubbleSize val="0"/>
        </c:dLbls>
        <c:marker val="1"/>
        <c:smooth val="0"/>
        <c:axId val="1340381632"/>
        <c:axId val="1340382112"/>
      </c:lineChart>
      <c:catAx>
        <c:axId val="1340381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2112"/>
        <c:crosses val="autoZero"/>
        <c:auto val="1"/>
        <c:lblAlgn val="ctr"/>
        <c:lblOffset val="100"/>
        <c:noMultiLvlLbl val="0"/>
      </c:catAx>
      <c:valAx>
        <c:axId val="134038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1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Episode Altitude'!$C$31</c:f>
              <c:strCache>
                <c:ptCount val="1"/>
                <c:pt idx="0">
                  <c:v>PX4 Baseline </c:v>
                </c:pt>
              </c:strCache>
            </c:strRef>
          </c:tx>
          <c:spPr>
            <a:solidFill>
              <a:schemeClr val="accent1"/>
            </a:solidFill>
            <a:ln>
              <a:noFill/>
            </a:ln>
            <a:effectLst/>
          </c:spPr>
          <c:invertIfNegative val="0"/>
          <c:val>
            <c:numRef>
              <c:f>'Mean Episode Altitude'!$C$32:$C$41</c:f>
              <c:numCache>
                <c:formatCode>General</c:formatCode>
                <c:ptCount val="10"/>
                <c:pt idx="0">
                  <c:v>9.8960000000000008</c:v>
                </c:pt>
                <c:pt idx="1">
                  <c:v>9.9909999999999997</c:v>
                </c:pt>
                <c:pt idx="2">
                  <c:v>9.9600000000000009</c:v>
                </c:pt>
                <c:pt idx="3">
                  <c:v>9.92</c:v>
                </c:pt>
                <c:pt idx="4">
                  <c:v>9.8889999999999993</c:v>
                </c:pt>
                <c:pt idx="5">
                  <c:v>9.8190000000000008</c:v>
                </c:pt>
                <c:pt idx="6">
                  <c:v>10.013999999999999</c:v>
                </c:pt>
                <c:pt idx="7">
                  <c:v>9.89</c:v>
                </c:pt>
                <c:pt idx="8">
                  <c:v>9.8810000000000002</c:v>
                </c:pt>
                <c:pt idx="9">
                  <c:v>9.9649999999999999</c:v>
                </c:pt>
              </c:numCache>
            </c:numRef>
          </c:val>
          <c:extLst>
            <c:ext xmlns:c16="http://schemas.microsoft.com/office/drawing/2014/chart" uri="{C3380CC4-5D6E-409C-BE32-E72D297353CC}">
              <c16:uniqueId val="{00000000-5D5A-45A6-BC11-9411C1602D9C}"/>
            </c:ext>
          </c:extLst>
        </c:ser>
        <c:ser>
          <c:idx val="1"/>
          <c:order val="1"/>
          <c:tx>
            <c:strRef>
              <c:f>'Mean Episode Altitude'!$D$31</c:f>
              <c:strCache>
                <c:ptCount val="1"/>
                <c:pt idx="0">
                  <c:v>BC policy</c:v>
                </c:pt>
              </c:strCache>
            </c:strRef>
          </c:tx>
          <c:spPr>
            <a:solidFill>
              <a:schemeClr val="accent2"/>
            </a:solidFill>
            <a:ln>
              <a:noFill/>
            </a:ln>
            <a:effectLst/>
          </c:spPr>
          <c:invertIfNegative val="0"/>
          <c:val>
            <c:numRef>
              <c:f>'Mean Episode Altitude'!$D$32:$D$41</c:f>
              <c:numCache>
                <c:formatCode>General</c:formatCode>
                <c:ptCount val="10"/>
                <c:pt idx="0">
                  <c:v>9.9589999999999996</c:v>
                </c:pt>
                <c:pt idx="1">
                  <c:v>10.010999999999999</c:v>
                </c:pt>
                <c:pt idx="2">
                  <c:v>9.9209999999999994</c:v>
                </c:pt>
                <c:pt idx="3">
                  <c:v>9.9830000000000005</c:v>
                </c:pt>
                <c:pt idx="4">
                  <c:v>9.9009999999999998</c:v>
                </c:pt>
                <c:pt idx="5">
                  <c:v>9.9890000000000008</c:v>
                </c:pt>
                <c:pt idx="6">
                  <c:v>10.083</c:v>
                </c:pt>
                <c:pt idx="7">
                  <c:v>9.968</c:v>
                </c:pt>
                <c:pt idx="8">
                  <c:v>9.8940000000000001</c:v>
                </c:pt>
                <c:pt idx="9">
                  <c:v>9.8770000000000007</c:v>
                </c:pt>
              </c:numCache>
            </c:numRef>
          </c:val>
          <c:extLst>
            <c:ext xmlns:c16="http://schemas.microsoft.com/office/drawing/2014/chart" uri="{C3380CC4-5D6E-409C-BE32-E72D297353CC}">
              <c16:uniqueId val="{00000001-5D5A-45A6-BC11-9411C1602D9C}"/>
            </c:ext>
          </c:extLst>
        </c:ser>
        <c:ser>
          <c:idx val="2"/>
          <c:order val="2"/>
          <c:tx>
            <c:strRef>
              <c:f>'Mean Episode Altitude'!$E$31</c:f>
              <c:strCache>
                <c:ptCount val="1"/>
                <c:pt idx="0">
                  <c:v>Baseline</c:v>
                </c:pt>
              </c:strCache>
            </c:strRef>
          </c:tx>
          <c:spPr>
            <a:solidFill>
              <a:schemeClr val="accent3"/>
            </a:solidFill>
            <a:ln>
              <a:noFill/>
            </a:ln>
            <a:effectLst/>
          </c:spPr>
          <c:invertIfNegative val="0"/>
          <c:val>
            <c:numRef>
              <c:f>'Mean Episode Altitude'!$E$32:$E$41</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2-5D5A-45A6-BC11-9411C1602D9C}"/>
            </c:ext>
          </c:extLst>
        </c:ser>
        <c:dLbls>
          <c:showLegendKey val="0"/>
          <c:showVal val="0"/>
          <c:showCatName val="0"/>
          <c:showSerName val="0"/>
          <c:showPercent val="0"/>
          <c:showBubbleSize val="0"/>
        </c:dLbls>
        <c:gapWidth val="219"/>
        <c:overlap val="-27"/>
        <c:axId val="2028908352"/>
        <c:axId val="2028907392"/>
      </c:barChart>
      <c:catAx>
        <c:axId val="20289083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07392"/>
        <c:crosses val="autoZero"/>
        <c:auto val="1"/>
        <c:lblAlgn val="ctr"/>
        <c:lblOffset val="100"/>
        <c:noMultiLvlLbl val="0"/>
      </c:catAx>
      <c:valAx>
        <c:axId val="202890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0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'Mean Episode Altitude'!$C$31</c:f>
              <c:strCache>
                <c:ptCount val="1"/>
                <c:pt idx="0">
                  <c:v>PX4 Baseline </c:v>
                </c:pt>
              </c:strCache>
            </c:strRef>
          </c:tx>
          <c:spPr>
            <a:ln w="28575" cap="rnd">
              <a:solidFill>
                <a:schemeClr val="accent1"/>
              </a:solidFill>
              <a:round/>
            </a:ln>
            <a:effectLst/>
          </c:spPr>
          <c:marker>
            <c:symbol val="none"/>
          </c:marker>
          <c:val>
            <c:numRef>
              <c:f>'Mean Episode Altitude'!$C$32:$C$41</c:f>
              <c:numCache>
                <c:formatCode>General</c:formatCode>
                <c:ptCount val="10"/>
                <c:pt idx="0">
                  <c:v>9.8960000000000008</c:v>
                </c:pt>
                <c:pt idx="1">
                  <c:v>9.9909999999999997</c:v>
                </c:pt>
                <c:pt idx="2">
                  <c:v>9.9600000000000009</c:v>
                </c:pt>
                <c:pt idx="3">
                  <c:v>9.92</c:v>
                </c:pt>
                <c:pt idx="4">
                  <c:v>9.8889999999999993</c:v>
                </c:pt>
                <c:pt idx="5">
                  <c:v>9.8190000000000008</c:v>
                </c:pt>
                <c:pt idx="6">
                  <c:v>10.013999999999999</c:v>
                </c:pt>
                <c:pt idx="7">
                  <c:v>9.89</c:v>
                </c:pt>
                <c:pt idx="8">
                  <c:v>9.8810000000000002</c:v>
                </c:pt>
                <c:pt idx="9">
                  <c:v>9.9649999999999999</c:v>
                </c:pt>
              </c:numCache>
            </c:numRef>
          </c:val>
          <c:smooth val="0"/>
          <c:extLst>
            <c:ext xmlns:c16="http://schemas.microsoft.com/office/drawing/2014/chart" uri="{C3380CC4-5D6E-409C-BE32-E72D297353CC}">
              <c16:uniqueId val="{00000000-E8DF-419E-B71A-66D3F05E492D}"/>
            </c:ext>
          </c:extLst>
        </c:ser>
        <c:ser>
          <c:idx val="1"/>
          <c:order val="1"/>
          <c:tx>
            <c:strRef>
              <c:f>'Mean Episode Altitude'!$D$31</c:f>
              <c:strCache>
                <c:ptCount val="1"/>
                <c:pt idx="0">
                  <c:v>BC policy</c:v>
                </c:pt>
              </c:strCache>
            </c:strRef>
          </c:tx>
          <c:spPr>
            <a:ln w="28575" cap="rnd">
              <a:solidFill>
                <a:schemeClr val="accent2"/>
              </a:solidFill>
              <a:round/>
            </a:ln>
            <a:effectLst/>
          </c:spPr>
          <c:marker>
            <c:symbol val="none"/>
          </c:marker>
          <c:val>
            <c:numRef>
              <c:f>'Mean Episode Altitude'!$D$32:$D$41</c:f>
              <c:numCache>
                <c:formatCode>General</c:formatCode>
                <c:ptCount val="10"/>
                <c:pt idx="0">
                  <c:v>9.9589999999999996</c:v>
                </c:pt>
                <c:pt idx="1">
                  <c:v>10.010999999999999</c:v>
                </c:pt>
                <c:pt idx="2">
                  <c:v>9.9209999999999994</c:v>
                </c:pt>
                <c:pt idx="3">
                  <c:v>9.9830000000000005</c:v>
                </c:pt>
                <c:pt idx="4">
                  <c:v>9.9009999999999998</c:v>
                </c:pt>
                <c:pt idx="5">
                  <c:v>9.9890000000000008</c:v>
                </c:pt>
                <c:pt idx="6">
                  <c:v>10.083</c:v>
                </c:pt>
                <c:pt idx="7">
                  <c:v>9.968</c:v>
                </c:pt>
                <c:pt idx="8">
                  <c:v>9.8940000000000001</c:v>
                </c:pt>
                <c:pt idx="9">
                  <c:v>9.8770000000000007</c:v>
                </c:pt>
              </c:numCache>
            </c:numRef>
          </c:val>
          <c:smooth val="0"/>
          <c:extLst>
            <c:ext xmlns:c16="http://schemas.microsoft.com/office/drawing/2014/chart" uri="{C3380CC4-5D6E-409C-BE32-E72D297353CC}">
              <c16:uniqueId val="{00000001-E8DF-419E-B71A-66D3F05E492D}"/>
            </c:ext>
          </c:extLst>
        </c:ser>
        <c:ser>
          <c:idx val="2"/>
          <c:order val="2"/>
          <c:tx>
            <c:strRef>
              <c:f>'Mean Episode Altitude'!$E$31</c:f>
              <c:strCache>
                <c:ptCount val="1"/>
                <c:pt idx="0">
                  <c:v>Baseline</c:v>
                </c:pt>
              </c:strCache>
            </c:strRef>
          </c:tx>
          <c:spPr>
            <a:ln w="28575" cap="rnd">
              <a:solidFill>
                <a:schemeClr val="accent3"/>
              </a:solidFill>
              <a:round/>
            </a:ln>
            <a:effectLst/>
          </c:spPr>
          <c:marker>
            <c:symbol val="none"/>
          </c:marker>
          <c:val>
            <c:numRef>
              <c:f>'Mean Episode Altitude'!$E$32:$E$41</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smooth val="0"/>
          <c:extLst>
            <c:ext xmlns:c16="http://schemas.microsoft.com/office/drawing/2014/chart" uri="{C3380CC4-5D6E-409C-BE32-E72D297353CC}">
              <c16:uniqueId val="{00000002-E8DF-419E-B71A-66D3F05E492D}"/>
            </c:ext>
          </c:extLst>
        </c:ser>
        <c:dLbls>
          <c:showLegendKey val="0"/>
          <c:showVal val="0"/>
          <c:showCatName val="0"/>
          <c:showSerName val="0"/>
          <c:showPercent val="0"/>
          <c:showBubbleSize val="0"/>
        </c:dLbls>
        <c:smooth val="0"/>
        <c:axId val="775075936"/>
        <c:axId val="775060096"/>
      </c:lineChart>
      <c:catAx>
        <c:axId val="7750759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60096"/>
        <c:crosses val="autoZero"/>
        <c:auto val="1"/>
        <c:lblAlgn val="ctr"/>
        <c:lblOffset val="100"/>
        <c:noMultiLvlLbl val="0"/>
      </c:catAx>
      <c:valAx>
        <c:axId val="77506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7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Episode Altitude'!$C$62</c:f>
              <c:strCache>
                <c:ptCount val="1"/>
                <c:pt idx="0">
                  <c:v>PX4 Baseline </c:v>
                </c:pt>
              </c:strCache>
            </c:strRef>
          </c:tx>
          <c:spPr>
            <a:solidFill>
              <a:schemeClr val="accent1"/>
            </a:solidFill>
            <a:ln>
              <a:noFill/>
            </a:ln>
            <a:effectLst/>
          </c:spPr>
          <c:invertIfNegative val="0"/>
          <c:val>
            <c:numRef>
              <c:f>'Mean Episode Altitude'!$C$63:$C$72</c:f>
              <c:numCache>
                <c:formatCode>General</c:formatCode>
                <c:ptCount val="10"/>
                <c:pt idx="0">
                  <c:v>9.782</c:v>
                </c:pt>
                <c:pt idx="1">
                  <c:v>9.9489999999999998</c:v>
                </c:pt>
                <c:pt idx="2">
                  <c:v>9.9429999999999996</c:v>
                </c:pt>
                <c:pt idx="3">
                  <c:v>9.7929999999999993</c:v>
                </c:pt>
                <c:pt idx="4">
                  <c:v>9.9380000000000006</c:v>
                </c:pt>
                <c:pt idx="5">
                  <c:v>9.8520000000000003</c:v>
                </c:pt>
                <c:pt idx="6">
                  <c:v>9.9920000000000009</c:v>
                </c:pt>
                <c:pt idx="7">
                  <c:v>9.8770000000000007</c:v>
                </c:pt>
                <c:pt idx="8">
                  <c:v>9.8629999999999995</c:v>
                </c:pt>
                <c:pt idx="9">
                  <c:v>9.968</c:v>
                </c:pt>
              </c:numCache>
            </c:numRef>
          </c:val>
          <c:extLst>
            <c:ext xmlns:c16="http://schemas.microsoft.com/office/drawing/2014/chart" uri="{C3380CC4-5D6E-409C-BE32-E72D297353CC}">
              <c16:uniqueId val="{00000000-4D1A-453F-BB72-BB2F12EC8441}"/>
            </c:ext>
          </c:extLst>
        </c:ser>
        <c:ser>
          <c:idx val="1"/>
          <c:order val="1"/>
          <c:tx>
            <c:strRef>
              <c:f>'Mean Episode Altitude'!$D$62</c:f>
              <c:strCache>
                <c:ptCount val="1"/>
                <c:pt idx="0">
                  <c:v>BC policy</c:v>
                </c:pt>
              </c:strCache>
            </c:strRef>
          </c:tx>
          <c:spPr>
            <a:solidFill>
              <a:schemeClr val="accent2"/>
            </a:solidFill>
            <a:ln>
              <a:noFill/>
            </a:ln>
            <a:effectLst/>
          </c:spPr>
          <c:invertIfNegative val="0"/>
          <c:val>
            <c:numRef>
              <c:f>'Mean Episode Altitude'!$D$63:$D$72</c:f>
              <c:numCache>
                <c:formatCode>General</c:formatCode>
                <c:ptCount val="10"/>
                <c:pt idx="0">
                  <c:v>9.9369999999999994</c:v>
                </c:pt>
                <c:pt idx="1">
                  <c:v>9.9429999999999996</c:v>
                </c:pt>
                <c:pt idx="2">
                  <c:v>10.063000000000001</c:v>
                </c:pt>
                <c:pt idx="3">
                  <c:v>9.8699999999999992</c:v>
                </c:pt>
                <c:pt idx="4">
                  <c:v>9.7590000000000003</c:v>
                </c:pt>
                <c:pt idx="5">
                  <c:v>9.8030000000000008</c:v>
                </c:pt>
                <c:pt idx="6">
                  <c:v>9.9740000000000002</c:v>
                </c:pt>
                <c:pt idx="7">
                  <c:v>10.01</c:v>
                </c:pt>
                <c:pt idx="8">
                  <c:v>9.9209999999999994</c:v>
                </c:pt>
                <c:pt idx="9">
                  <c:v>9.8849999999999998</c:v>
                </c:pt>
              </c:numCache>
            </c:numRef>
          </c:val>
          <c:extLst>
            <c:ext xmlns:c16="http://schemas.microsoft.com/office/drawing/2014/chart" uri="{C3380CC4-5D6E-409C-BE32-E72D297353CC}">
              <c16:uniqueId val="{00000001-4D1A-453F-BB72-BB2F12EC8441}"/>
            </c:ext>
          </c:extLst>
        </c:ser>
        <c:dLbls>
          <c:showLegendKey val="0"/>
          <c:showVal val="0"/>
          <c:showCatName val="0"/>
          <c:showSerName val="0"/>
          <c:showPercent val="0"/>
          <c:showBubbleSize val="0"/>
        </c:dLbls>
        <c:gapWidth val="219"/>
        <c:overlap val="-27"/>
        <c:axId val="254242431"/>
        <c:axId val="254233311"/>
      </c:barChart>
      <c:catAx>
        <c:axId val="2542424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33311"/>
        <c:crosses val="autoZero"/>
        <c:auto val="1"/>
        <c:lblAlgn val="ctr"/>
        <c:lblOffset val="100"/>
        <c:noMultiLvlLbl val="0"/>
      </c:catAx>
      <c:valAx>
        <c:axId val="25423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42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'Mean Episode Altitude'!$C$62</c:f>
              <c:strCache>
                <c:ptCount val="1"/>
                <c:pt idx="0">
                  <c:v>PX4 Baseline </c:v>
                </c:pt>
              </c:strCache>
            </c:strRef>
          </c:tx>
          <c:spPr>
            <a:ln w="28575" cap="rnd">
              <a:solidFill>
                <a:schemeClr val="accent1"/>
              </a:solidFill>
              <a:round/>
            </a:ln>
            <a:effectLst/>
          </c:spPr>
          <c:marker>
            <c:symbol val="none"/>
          </c:marker>
          <c:val>
            <c:numRef>
              <c:f>'Mean Episode Altitude'!$C$63:$C$72</c:f>
              <c:numCache>
                <c:formatCode>General</c:formatCode>
                <c:ptCount val="10"/>
                <c:pt idx="0">
                  <c:v>9.782</c:v>
                </c:pt>
                <c:pt idx="1">
                  <c:v>9.9489999999999998</c:v>
                </c:pt>
                <c:pt idx="2">
                  <c:v>9.9429999999999996</c:v>
                </c:pt>
                <c:pt idx="3">
                  <c:v>9.7929999999999993</c:v>
                </c:pt>
                <c:pt idx="4">
                  <c:v>9.9380000000000006</c:v>
                </c:pt>
                <c:pt idx="5">
                  <c:v>9.8520000000000003</c:v>
                </c:pt>
                <c:pt idx="6">
                  <c:v>9.9920000000000009</c:v>
                </c:pt>
                <c:pt idx="7">
                  <c:v>9.8770000000000007</c:v>
                </c:pt>
                <c:pt idx="8">
                  <c:v>9.8629999999999995</c:v>
                </c:pt>
                <c:pt idx="9">
                  <c:v>9.968</c:v>
                </c:pt>
              </c:numCache>
            </c:numRef>
          </c:val>
          <c:smooth val="0"/>
          <c:extLst>
            <c:ext xmlns:c16="http://schemas.microsoft.com/office/drawing/2014/chart" uri="{C3380CC4-5D6E-409C-BE32-E72D297353CC}">
              <c16:uniqueId val="{00000000-0FCC-434B-8E2D-A1A7E8E3A9E4}"/>
            </c:ext>
          </c:extLst>
        </c:ser>
        <c:ser>
          <c:idx val="1"/>
          <c:order val="1"/>
          <c:tx>
            <c:strRef>
              <c:f>'Mean Episode Altitude'!$D$62</c:f>
              <c:strCache>
                <c:ptCount val="1"/>
                <c:pt idx="0">
                  <c:v>BC policy</c:v>
                </c:pt>
              </c:strCache>
            </c:strRef>
          </c:tx>
          <c:spPr>
            <a:ln w="28575" cap="rnd">
              <a:solidFill>
                <a:schemeClr val="accent2"/>
              </a:solidFill>
              <a:round/>
            </a:ln>
            <a:effectLst/>
          </c:spPr>
          <c:marker>
            <c:symbol val="none"/>
          </c:marker>
          <c:val>
            <c:numRef>
              <c:f>'Mean Episode Altitude'!$D$63:$D$72</c:f>
              <c:numCache>
                <c:formatCode>General</c:formatCode>
                <c:ptCount val="10"/>
                <c:pt idx="0">
                  <c:v>9.9369999999999994</c:v>
                </c:pt>
                <c:pt idx="1">
                  <c:v>9.9429999999999996</c:v>
                </c:pt>
                <c:pt idx="2">
                  <c:v>10.063000000000001</c:v>
                </c:pt>
                <c:pt idx="3">
                  <c:v>9.8699999999999992</c:v>
                </c:pt>
                <c:pt idx="4">
                  <c:v>9.7590000000000003</c:v>
                </c:pt>
                <c:pt idx="5">
                  <c:v>9.8030000000000008</c:v>
                </c:pt>
                <c:pt idx="6">
                  <c:v>9.9740000000000002</c:v>
                </c:pt>
                <c:pt idx="7">
                  <c:v>10.01</c:v>
                </c:pt>
                <c:pt idx="8">
                  <c:v>9.9209999999999994</c:v>
                </c:pt>
                <c:pt idx="9">
                  <c:v>9.8849999999999998</c:v>
                </c:pt>
              </c:numCache>
            </c:numRef>
          </c:val>
          <c:smooth val="0"/>
          <c:extLst>
            <c:ext xmlns:c16="http://schemas.microsoft.com/office/drawing/2014/chart" uri="{C3380CC4-5D6E-409C-BE32-E72D297353CC}">
              <c16:uniqueId val="{00000001-0FCC-434B-8E2D-A1A7E8E3A9E4}"/>
            </c:ext>
          </c:extLst>
        </c:ser>
        <c:ser>
          <c:idx val="2"/>
          <c:order val="2"/>
          <c:tx>
            <c:strRef>
              <c:f>'Mean Episode Altitude'!$E$62</c:f>
              <c:strCache>
                <c:ptCount val="1"/>
                <c:pt idx="0">
                  <c:v>Baseline</c:v>
                </c:pt>
              </c:strCache>
            </c:strRef>
          </c:tx>
          <c:spPr>
            <a:ln w="28575" cap="rnd">
              <a:solidFill>
                <a:schemeClr val="accent3"/>
              </a:solidFill>
              <a:round/>
            </a:ln>
            <a:effectLst/>
          </c:spPr>
          <c:marker>
            <c:symbol val="none"/>
          </c:marker>
          <c:val>
            <c:numRef>
              <c:f>'Mean Episode Altitude'!$E$63:$E$72</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smooth val="0"/>
          <c:extLst>
            <c:ext xmlns:c16="http://schemas.microsoft.com/office/drawing/2014/chart" uri="{C3380CC4-5D6E-409C-BE32-E72D297353CC}">
              <c16:uniqueId val="{00000002-0FCC-434B-8E2D-A1A7E8E3A9E4}"/>
            </c:ext>
          </c:extLst>
        </c:ser>
        <c:dLbls>
          <c:showLegendKey val="0"/>
          <c:showVal val="0"/>
          <c:showCatName val="0"/>
          <c:showSerName val="0"/>
          <c:showPercent val="0"/>
          <c:showBubbleSize val="0"/>
        </c:dLbls>
        <c:smooth val="0"/>
        <c:axId val="254276031"/>
        <c:axId val="254277951"/>
      </c:lineChart>
      <c:catAx>
        <c:axId val="2542760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77951"/>
        <c:crosses val="autoZero"/>
        <c:auto val="1"/>
        <c:lblAlgn val="ctr"/>
        <c:lblOffset val="100"/>
        <c:noMultiLvlLbl val="0"/>
      </c:catAx>
      <c:valAx>
        <c:axId val="25427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Episode Altitude'!$C$85</c:f>
              <c:strCache>
                <c:ptCount val="1"/>
                <c:pt idx="0">
                  <c:v>PX4 Baseline </c:v>
                </c:pt>
              </c:strCache>
            </c:strRef>
          </c:tx>
          <c:spPr>
            <a:solidFill>
              <a:schemeClr val="accent1"/>
            </a:solidFill>
            <a:ln>
              <a:noFill/>
            </a:ln>
            <a:effectLst/>
          </c:spPr>
          <c:invertIfNegative val="0"/>
          <c:val>
            <c:numRef>
              <c:f>'Mean Episode Altitude'!$C$86:$C$95</c:f>
              <c:numCache>
                <c:formatCode>General</c:formatCode>
                <c:ptCount val="10"/>
                <c:pt idx="0">
                  <c:v>9.8049999999999997</c:v>
                </c:pt>
                <c:pt idx="1">
                  <c:v>9.8030000000000008</c:v>
                </c:pt>
                <c:pt idx="2">
                  <c:v>9.8849999999999998</c:v>
                </c:pt>
                <c:pt idx="3">
                  <c:v>9.9819999999999993</c:v>
                </c:pt>
                <c:pt idx="4">
                  <c:v>10.000999999999999</c:v>
                </c:pt>
                <c:pt idx="5">
                  <c:v>10.01</c:v>
                </c:pt>
                <c:pt idx="6">
                  <c:v>9.8539999999999992</c:v>
                </c:pt>
                <c:pt idx="7">
                  <c:v>9.9440000000000008</c:v>
                </c:pt>
                <c:pt idx="8">
                  <c:v>9.9440000000000008</c:v>
                </c:pt>
                <c:pt idx="9">
                  <c:v>9.9670000000000005</c:v>
                </c:pt>
              </c:numCache>
            </c:numRef>
          </c:val>
          <c:extLst>
            <c:ext xmlns:c16="http://schemas.microsoft.com/office/drawing/2014/chart" uri="{C3380CC4-5D6E-409C-BE32-E72D297353CC}">
              <c16:uniqueId val="{00000000-3703-4D33-96C8-2F9E6157CC39}"/>
            </c:ext>
          </c:extLst>
        </c:ser>
        <c:ser>
          <c:idx val="1"/>
          <c:order val="1"/>
          <c:tx>
            <c:strRef>
              <c:f>'Mean Episode Altitude'!$D$85</c:f>
              <c:strCache>
                <c:ptCount val="1"/>
                <c:pt idx="0">
                  <c:v>BC policy</c:v>
                </c:pt>
              </c:strCache>
            </c:strRef>
          </c:tx>
          <c:spPr>
            <a:solidFill>
              <a:schemeClr val="accent2"/>
            </a:solidFill>
            <a:ln>
              <a:noFill/>
            </a:ln>
            <a:effectLst/>
          </c:spPr>
          <c:invertIfNegative val="0"/>
          <c:val>
            <c:numRef>
              <c:f>'Mean Episode Altitude'!$D$86:$D$95</c:f>
              <c:numCache>
                <c:formatCode>General</c:formatCode>
                <c:ptCount val="10"/>
                <c:pt idx="0">
                  <c:v>9.8840000000000003</c:v>
                </c:pt>
                <c:pt idx="1">
                  <c:v>9.8729999999999993</c:v>
                </c:pt>
                <c:pt idx="2">
                  <c:v>9.9169999999999998</c:v>
                </c:pt>
                <c:pt idx="3">
                  <c:v>9.9440000000000008</c:v>
                </c:pt>
                <c:pt idx="4">
                  <c:v>9.8439999999999994</c:v>
                </c:pt>
                <c:pt idx="5">
                  <c:v>9.9619999999999997</c:v>
                </c:pt>
                <c:pt idx="6">
                  <c:v>9.9079999999999995</c:v>
                </c:pt>
                <c:pt idx="7">
                  <c:v>9.9469999999999992</c:v>
                </c:pt>
                <c:pt idx="8">
                  <c:v>9.8439999999999994</c:v>
                </c:pt>
                <c:pt idx="9">
                  <c:v>10.003</c:v>
                </c:pt>
              </c:numCache>
            </c:numRef>
          </c:val>
          <c:extLst>
            <c:ext xmlns:c16="http://schemas.microsoft.com/office/drawing/2014/chart" uri="{C3380CC4-5D6E-409C-BE32-E72D297353CC}">
              <c16:uniqueId val="{00000001-3703-4D33-96C8-2F9E6157CC39}"/>
            </c:ext>
          </c:extLst>
        </c:ser>
        <c:dLbls>
          <c:showLegendKey val="0"/>
          <c:showVal val="0"/>
          <c:showCatName val="0"/>
          <c:showSerName val="0"/>
          <c:showPercent val="0"/>
          <c:showBubbleSize val="0"/>
        </c:dLbls>
        <c:gapWidth val="219"/>
        <c:overlap val="-27"/>
        <c:axId val="644474975"/>
        <c:axId val="644472095"/>
      </c:barChart>
      <c:catAx>
        <c:axId val="6444749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2095"/>
        <c:crosses val="autoZero"/>
        <c:auto val="1"/>
        <c:lblAlgn val="ctr"/>
        <c:lblOffset val="100"/>
        <c:noMultiLvlLbl val="0"/>
      </c:catAx>
      <c:valAx>
        <c:axId val="64447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Mean episode altitude PX4 vs BC Policy vs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'Mean Episode Altitude'!$C$85</c:f>
              <c:strCache>
                <c:ptCount val="1"/>
                <c:pt idx="0">
                  <c:v>PX4 Baseline </c:v>
                </c:pt>
              </c:strCache>
            </c:strRef>
          </c:tx>
          <c:spPr>
            <a:ln w="28575" cap="rnd">
              <a:solidFill>
                <a:schemeClr val="accent1"/>
              </a:solidFill>
              <a:round/>
            </a:ln>
            <a:effectLst/>
          </c:spPr>
          <c:marker>
            <c:symbol val="none"/>
          </c:marker>
          <c:val>
            <c:numRef>
              <c:f>'Mean Episode Altitude'!$C$86:$C$95</c:f>
              <c:numCache>
                <c:formatCode>General</c:formatCode>
                <c:ptCount val="10"/>
                <c:pt idx="0">
                  <c:v>9.8049999999999997</c:v>
                </c:pt>
                <c:pt idx="1">
                  <c:v>9.8030000000000008</c:v>
                </c:pt>
                <c:pt idx="2">
                  <c:v>9.8849999999999998</c:v>
                </c:pt>
                <c:pt idx="3">
                  <c:v>9.9819999999999993</c:v>
                </c:pt>
                <c:pt idx="4">
                  <c:v>10.000999999999999</c:v>
                </c:pt>
                <c:pt idx="5">
                  <c:v>10.01</c:v>
                </c:pt>
                <c:pt idx="6">
                  <c:v>9.8539999999999992</c:v>
                </c:pt>
                <c:pt idx="7">
                  <c:v>9.9440000000000008</c:v>
                </c:pt>
                <c:pt idx="8">
                  <c:v>9.9440000000000008</c:v>
                </c:pt>
                <c:pt idx="9">
                  <c:v>9.9670000000000005</c:v>
                </c:pt>
              </c:numCache>
            </c:numRef>
          </c:val>
          <c:smooth val="0"/>
          <c:extLst>
            <c:ext xmlns:c16="http://schemas.microsoft.com/office/drawing/2014/chart" uri="{C3380CC4-5D6E-409C-BE32-E72D297353CC}">
              <c16:uniqueId val="{00000000-1EAA-47E7-BF66-3E6DBF4CF957}"/>
            </c:ext>
          </c:extLst>
        </c:ser>
        <c:ser>
          <c:idx val="1"/>
          <c:order val="1"/>
          <c:tx>
            <c:strRef>
              <c:f>'Mean Episode Altitude'!$D$85</c:f>
              <c:strCache>
                <c:ptCount val="1"/>
                <c:pt idx="0">
                  <c:v>BC policy</c:v>
                </c:pt>
              </c:strCache>
            </c:strRef>
          </c:tx>
          <c:spPr>
            <a:ln w="28575" cap="rnd">
              <a:solidFill>
                <a:schemeClr val="accent2"/>
              </a:solidFill>
              <a:round/>
            </a:ln>
            <a:effectLst/>
          </c:spPr>
          <c:marker>
            <c:symbol val="none"/>
          </c:marker>
          <c:val>
            <c:numRef>
              <c:f>'Mean Episode Altitude'!$D$86:$D$95</c:f>
              <c:numCache>
                <c:formatCode>General</c:formatCode>
                <c:ptCount val="10"/>
                <c:pt idx="0">
                  <c:v>9.8840000000000003</c:v>
                </c:pt>
                <c:pt idx="1">
                  <c:v>9.8729999999999993</c:v>
                </c:pt>
                <c:pt idx="2">
                  <c:v>9.9169999999999998</c:v>
                </c:pt>
                <c:pt idx="3">
                  <c:v>9.9440000000000008</c:v>
                </c:pt>
                <c:pt idx="4">
                  <c:v>9.8439999999999994</c:v>
                </c:pt>
                <c:pt idx="5">
                  <c:v>9.9619999999999997</c:v>
                </c:pt>
                <c:pt idx="6">
                  <c:v>9.9079999999999995</c:v>
                </c:pt>
                <c:pt idx="7">
                  <c:v>9.9469999999999992</c:v>
                </c:pt>
                <c:pt idx="8">
                  <c:v>9.8439999999999994</c:v>
                </c:pt>
                <c:pt idx="9">
                  <c:v>10.003</c:v>
                </c:pt>
              </c:numCache>
            </c:numRef>
          </c:val>
          <c:smooth val="0"/>
          <c:extLst>
            <c:ext xmlns:c16="http://schemas.microsoft.com/office/drawing/2014/chart" uri="{C3380CC4-5D6E-409C-BE32-E72D297353CC}">
              <c16:uniqueId val="{00000001-1EAA-47E7-BF66-3E6DBF4CF957}"/>
            </c:ext>
          </c:extLst>
        </c:ser>
        <c:ser>
          <c:idx val="2"/>
          <c:order val="2"/>
          <c:tx>
            <c:strRef>
              <c:f>'Mean Episode Altitude'!$E$85</c:f>
              <c:strCache>
                <c:ptCount val="1"/>
                <c:pt idx="0">
                  <c:v>Baseline</c:v>
                </c:pt>
              </c:strCache>
            </c:strRef>
          </c:tx>
          <c:spPr>
            <a:ln w="28575" cap="rnd">
              <a:solidFill>
                <a:schemeClr val="accent3"/>
              </a:solidFill>
              <a:round/>
            </a:ln>
            <a:effectLst/>
          </c:spPr>
          <c:marker>
            <c:symbol val="none"/>
          </c:marker>
          <c:val>
            <c:numRef>
              <c:f>'Mean Episode Altitude'!$E$86:$E$95</c:f>
              <c:numCache>
                <c:formatCode>General</c:formatCode>
                <c:ptCount val="10"/>
                <c:pt idx="0">
                  <c:v>10</c:v>
                </c:pt>
                <c:pt idx="1">
                  <c:v>10</c:v>
                </c:pt>
                <c:pt idx="2">
                  <c:v>10</c:v>
                </c:pt>
                <c:pt idx="3">
                  <c:v>10</c:v>
                </c:pt>
                <c:pt idx="4">
                  <c:v>10</c:v>
                </c:pt>
                <c:pt idx="5">
                  <c:v>10</c:v>
                </c:pt>
                <c:pt idx="6">
                  <c:v>10</c:v>
                </c:pt>
                <c:pt idx="7">
                  <c:v>10</c:v>
                </c:pt>
                <c:pt idx="8">
                  <c:v>10</c:v>
                </c:pt>
                <c:pt idx="9">
                  <c:v>10</c:v>
                </c:pt>
              </c:numCache>
            </c:numRef>
          </c:val>
          <c:smooth val="0"/>
          <c:extLst>
            <c:ext xmlns:c16="http://schemas.microsoft.com/office/drawing/2014/chart" uri="{C3380CC4-5D6E-409C-BE32-E72D297353CC}">
              <c16:uniqueId val="{00000002-1EAA-47E7-BF66-3E6DBF4CF957}"/>
            </c:ext>
          </c:extLst>
        </c:ser>
        <c:dLbls>
          <c:showLegendKey val="0"/>
          <c:showVal val="0"/>
          <c:showCatName val="0"/>
          <c:showSerName val="0"/>
          <c:showPercent val="0"/>
          <c:showBubbleSize val="0"/>
        </c:dLbls>
        <c:smooth val="0"/>
        <c:axId val="644475455"/>
        <c:axId val="644465375"/>
      </c:lineChart>
      <c:catAx>
        <c:axId val="644475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5375"/>
        <c:crosses val="autoZero"/>
        <c:auto val="1"/>
        <c:lblAlgn val="ctr"/>
        <c:lblOffset val="100"/>
        <c:noMultiLvlLbl val="0"/>
      </c:catAx>
      <c:valAx>
        <c:axId val="64446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b="1"/>
              <a:t>RMSE Comparison</a:t>
            </a:r>
            <a:r>
              <a:rPr lang="en-MY" b="1" baseline="0"/>
              <a:t> from 10.0m target per episode</a:t>
            </a:r>
            <a:endParaRPr lang="en-MY"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clustered"/>
        <c:varyColors val="0"/>
        <c:ser>
          <c:idx val="0"/>
          <c:order val="0"/>
          <c:tx>
            <c:strRef>
              <c:f>'Root Mean Squared Error'!$C$19</c:f>
              <c:strCache>
                <c:ptCount val="1"/>
                <c:pt idx="0">
                  <c:v>PX4 RMSE </c:v>
                </c:pt>
              </c:strCache>
            </c:strRef>
          </c:tx>
          <c:spPr>
            <a:solidFill>
              <a:schemeClr val="accent1"/>
            </a:solidFill>
            <a:ln>
              <a:noFill/>
            </a:ln>
            <a:effectLst/>
          </c:spPr>
          <c:invertIfNegative val="0"/>
          <c:val>
            <c:numRef>
              <c:f>'Root Mean Squared Error'!$C$20:$C$29</c:f>
              <c:numCache>
                <c:formatCode>General</c:formatCode>
                <c:ptCount val="10"/>
                <c:pt idx="0">
                  <c:v>0.222</c:v>
                </c:pt>
                <c:pt idx="1">
                  <c:v>8.09E-2</c:v>
                </c:pt>
                <c:pt idx="2">
                  <c:v>7.5300000000000006E-2</c:v>
                </c:pt>
                <c:pt idx="3">
                  <c:v>0.155</c:v>
                </c:pt>
                <c:pt idx="4">
                  <c:v>8.0799999999999997E-2</c:v>
                </c:pt>
                <c:pt idx="5">
                  <c:v>5.0299999999999997E-2</c:v>
                </c:pt>
                <c:pt idx="6">
                  <c:v>6.2600000000000003E-2</c:v>
                </c:pt>
                <c:pt idx="7">
                  <c:v>8.9200000000000002E-2</c:v>
                </c:pt>
                <c:pt idx="8">
                  <c:v>5.5399999999999998E-2</c:v>
                </c:pt>
                <c:pt idx="9">
                  <c:v>0.1552</c:v>
                </c:pt>
              </c:numCache>
            </c:numRef>
          </c:val>
          <c:extLst>
            <c:ext xmlns:c16="http://schemas.microsoft.com/office/drawing/2014/chart" uri="{C3380CC4-5D6E-409C-BE32-E72D297353CC}">
              <c16:uniqueId val="{00000000-4916-4FCA-845D-F0A74E3CCFE2}"/>
            </c:ext>
          </c:extLst>
        </c:ser>
        <c:ser>
          <c:idx val="1"/>
          <c:order val="1"/>
          <c:tx>
            <c:strRef>
              <c:f>'Root Mean Squared Error'!$D$19</c:f>
              <c:strCache>
                <c:ptCount val="1"/>
                <c:pt idx="0">
                  <c:v>BC Policy RMSE</c:v>
                </c:pt>
              </c:strCache>
            </c:strRef>
          </c:tx>
          <c:spPr>
            <a:solidFill>
              <a:schemeClr val="accent2"/>
            </a:solidFill>
            <a:ln>
              <a:noFill/>
            </a:ln>
            <a:effectLst/>
          </c:spPr>
          <c:invertIfNegative val="0"/>
          <c:val>
            <c:numRef>
              <c:f>'Root Mean Squared Error'!$D$20:$D$29</c:f>
              <c:numCache>
                <c:formatCode>General</c:formatCode>
                <c:ptCount val="10"/>
                <c:pt idx="0">
                  <c:v>0.45900000000000002</c:v>
                </c:pt>
                <c:pt idx="1">
                  <c:v>0.2281</c:v>
                </c:pt>
                <c:pt idx="2">
                  <c:v>0.23710000000000001</c:v>
                </c:pt>
                <c:pt idx="3">
                  <c:v>0.65480000000000005</c:v>
                </c:pt>
                <c:pt idx="4">
                  <c:v>0.37080000000000002</c:v>
                </c:pt>
                <c:pt idx="5">
                  <c:v>0.44450000000000001</c:v>
                </c:pt>
                <c:pt idx="6">
                  <c:v>0.36780000000000002</c:v>
                </c:pt>
                <c:pt idx="7">
                  <c:v>0.38369999999999999</c:v>
                </c:pt>
                <c:pt idx="8">
                  <c:v>0.98560000000000003</c:v>
                </c:pt>
                <c:pt idx="9">
                  <c:v>0.55910000000000004</c:v>
                </c:pt>
              </c:numCache>
            </c:numRef>
          </c:val>
          <c:extLst>
            <c:ext xmlns:c16="http://schemas.microsoft.com/office/drawing/2014/chart" uri="{C3380CC4-5D6E-409C-BE32-E72D297353CC}">
              <c16:uniqueId val="{00000001-4916-4FCA-845D-F0A74E3CCFE2}"/>
            </c:ext>
          </c:extLst>
        </c:ser>
        <c:dLbls>
          <c:showLegendKey val="0"/>
          <c:showVal val="0"/>
          <c:showCatName val="0"/>
          <c:showSerName val="0"/>
          <c:showPercent val="0"/>
          <c:showBubbleSize val="0"/>
        </c:dLbls>
        <c:gapWidth val="219"/>
        <c:overlap val="-27"/>
        <c:axId val="2028885312"/>
        <c:axId val="2028885792"/>
      </c:barChart>
      <c:catAx>
        <c:axId val="2028885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85792"/>
        <c:crosses val="autoZero"/>
        <c:auto val="1"/>
        <c:lblAlgn val="ctr"/>
        <c:lblOffset val="100"/>
        <c:noMultiLvlLbl val="0"/>
      </c:catAx>
      <c:valAx>
        <c:axId val="202888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8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RMSE Comparison from 10.0m target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'Root Mean Squared Error'!$C$53</c:f>
              <c:strCache>
                <c:ptCount val="1"/>
                <c:pt idx="0">
                  <c:v>PX4 RMSE </c:v>
                </c:pt>
              </c:strCache>
            </c:strRef>
          </c:tx>
          <c:spPr>
            <a:solidFill>
              <a:schemeClr val="accent1"/>
            </a:solidFill>
            <a:ln>
              <a:noFill/>
            </a:ln>
            <a:effectLst/>
          </c:spPr>
          <c:invertIfNegative val="0"/>
          <c:val>
            <c:numRef>
              <c:f>'Root Mean Squared Error'!$C$54:$C$63</c:f>
              <c:numCache>
                <c:formatCode>General</c:formatCode>
                <c:ptCount val="10"/>
                <c:pt idx="0">
                  <c:v>0.1113</c:v>
                </c:pt>
                <c:pt idx="1">
                  <c:v>1.8499999999999999E-2</c:v>
                </c:pt>
                <c:pt idx="2">
                  <c:v>5.1999999999999998E-2</c:v>
                </c:pt>
                <c:pt idx="3">
                  <c:v>8.09E-2</c:v>
                </c:pt>
                <c:pt idx="4">
                  <c:v>0.1134</c:v>
                </c:pt>
                <c:pt idx="5">
                  <c:v>0.1837</c:v>
                </c:pt>
                <c:pt idx="6">
                  <c:v>3.8199999999999998E-2</c:v>
                </c:pt>
                <c:pt idx="7">
                  <c:v>0.1108</c:v>
                </c:pt>
                <c:pt idx="8">
                  <c:v>0.1197</c:v>
                </c:pt>
                <c:pt idx="9">
                  <c:v>4.1300000000000003E-2</c:v>
                </c:pt>
              </c:numCache>
            </c:numRef>
          </c:val>
          <c:extLst>
            <c:ext xmlns:c16="http://schemas.microsoft.com/office/drawing/2014/chart" uri="{C3380CC4-5D6E-409C-BE32-E72D297353CC}">
              <c16:uniqueId val="{00000000-D88B-4108-9F0B-B919C87ADC47}"/>
            </c:ext>
          </c:extLst>
        </c:ser>
        <c:ser>
          <c:idx val="1"/>
          <c:order val="1"/>
          <c:tx>
            <c:strRef>
              <c:f>'Root Mean Squared Error'!$D$53</c:f>
              <c:strCache>
                <c:ptCount val="1"/>
                <c:pt idx="0">
                  <c:v>BC Policy RMSE</c:v>
                </c:pt>
              </c:strCache>
            </c:strRef>
          </c:tx>
          <c:spPr>
            <a:solidFill>
              <a:schemeClr val="accent2"/>
            </a:solidFill>
            <a:ln>
              <a:noFill/>
            </a:ln>
            <a:effectLst/>
          </c:spPr>
          <c:invertIfNegative val="0"/>
          <c:val>
            <c:numRef>
              <c:f>'Root Mean Squared Error'!$D$54:$D$63</c:f>
              <c:numCache>
                <c:formatCode>General</c:formatCode>
                <c:ptCount val="10"/>
                <c:pt idx="0">
                  <c:v>7.22E-2</c:v>
                </c:pt>
                <c:pt idx="1">
                  <c:v>6.6000000000000003E-2</c:v>
                </c:pt>
                <c:pt idx="2">
                  <c:v>0.12230000000000001</c:v>
                </c:pt>
                <c:pt idx="3">
                  <c:v>4.6199999999999998E-2</c:v>
                </c:pt>
                <c:pt idx="4">
                  <c:v>0.16070000000000001</c:v>
                </c:pt>
                <c:pt idx="5">
                  <c:v>6.3899999999999998E-2</c:v>
                </c:pt>
                <c:pt idx="6">
                  <c:v>9.5899999999999999E-2</c:v>
                </c:pt>
                <c:pt idx="7">
                  <c:v>6.7799999999999999E-2</c:v>
                </c:pt>
                <c:pt idx="8">
                  <c:v>0.1244</c:v>
                </c:pt>
                <c:pt idx="9">
                  <c:v>0.14330000000000001</c:v>
                </c:pt>
              </c:numCache>
            </c:numRef>
          </c:val>
          <c:extLst>
            <c:ext xmlns:c16="http://schemas.microsoft.com/office/drawing/2014/chart" uri="{C3380CC4-5D6E-409C-BE32-E72D297353CC}">
              <c16:uniqueId val="{00000001-D88B-4108-9F0B-B919C87ADC47}"/>
            </c:ext>
          </c:extLst>
        </c:ser>
        <c:dLbls>
          <c:showLegendKey val="0"/>
          <c:showVal val="0"/>
          <c:showCatName val="0"/>
          <c:showSerName val="0"/>
          <c:showPercent val="0"/>
          <c:showBubbleSize val="0"/>
        </c:dLbls>
        <c:gapWidth val="219"/>
        <c:overlap val="-27"/>
        <c:axId val="775136896"/>
        <c:axId val="775137376"/>
      </c:barChart>
      <c:catAx>
        <c:axId val="7751368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37376"/>
        <c:crosses val="autoZero"/>
        <c:auto val="1"/>
        <c:lblAlgn val="ctr"/>
        <c:lblOffset val="100"/>
        <c:noMultiLvlLbl val="0"/>
      </c:catAx>
      <c:valAx>
        <c:axId val="77513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3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RMSE Comparison from 10.0m target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'Root Mean Squared Error'!$C$97</c:f>
              <c:strCache>
                <c:ptCount val="1"/>
                <c:pt idx="0">
                  <c:v>PX4 RMSE </c:v>
                </c:pt>
              </c:strCache>
            </c:strRef>
          </c:tx>
          <c:spPr>
            <a:solidFill>
              <a:schemeClr val="accent1"/>
            </a:solidFill>
            <a:ln>
              <a:noFill/>
            </a:ln>
            <a:effectLst/>
          </c:spPr>
          <c:invertIfNegative val="0"/>
          <c:val>
            <c:numRef>
              <c:f>'Root Mean Squared Error'!$C$98:$C$107</c:f>
              <c:numCache>
                <c:formatCode>General</c:formatCode>
                <c:ptCount val="10"/>
                <c:pt idx="0">
                  <c:v>0.2331</c:v>
                </c:pt>
                <c:pt idx="1">
                  <c:v>5.3600000000000002E-2</c:v>
                </c:pt>
                <c:pt idx="2">
                  <c:v>5.7799999999999997E-2</c:v>
                </c:pt>
                <c:pt idx="3">
                  <c:v>0.21079999999999999</c:v>
                </c:pt>
                <c:pt idx="4">
                  <c:v>6.9000000000000006E-2</c:v>
                </c:pt>
                <c:pt idx="5">
                  <c:v>0.14949999999999999</c:v>
                </c:pt>
                <c:pt idx="6">
                  <c:v>2.2700000000000001E-2</c:v>
                </c:pt>
                <c:pt idx="7">
                  <c:v>0.13469999999999999</c:v>
                </c:pt>
                <c:pt idx="8">
                  <c:v>0.13930000000000001</c:v>
                </c:pt>
                <c:pt idx="9">
                  <c:v>3.4500000000000003E-2</c:v>
                </c:pt>
              </c:numCache>
            </c:numRef>
          </c:val>
          <c:extLst>
            <c:ext xmlns:c16="http://schemas.microsoft.com/office/drawing/2014/chart" uri="{C3380CC4-5D6E-409C-BE32-E72D297353CC}">
              <c16:uniqueId val="{00000000-5B2A-4CDC-9BF2-7A5010DC8C95}"/>
            </c:ext>
          </c:extLst>
        </c:ser>
        <c:ser>
          <c:idx val="1"/>
          <c:order val="1"/>
          <c:tx>
            <c:strRef>
              <c:f>'Root Mean Squared Error'!$D$97</c:f>
              <c:strCache>
                <c:ptCount val="1"/>
                <c:pt idx="0">
                  <c:v>BC Policy RMSE</c:v>
                </c:pt>
              </c:strCache>
            </c:strRef>
          </c:tx>
          <c:spPr>
            <a:solidFill>
              <a:schemeClr val="accent2"/>
            </a:solidFill>
            <a:ln>
              <a:noFill/>
            </a:ln>
            <a:effectLst/>
          </c:spPr>
          <c:invertIfNegative val="0"/>
          <c:val>
            <c:numRef>
              <c:f>'Root Mean Squared Error'!$D$98:$D$107</c:f>
              <c:numCache>
                <c:formatCode>General</c:formatCode>
                <c:ptCount val="10"/>
                <c:pt idx="0">
                  <c:v>9.74E-2</c:v>
                </c:pt>
                <c:pt idx="1">
                  <c:v>0.16919999999999999</c:v>
                </c:pt>
                <c:pt idx="2">
                  <c:v>0.12330000000000001</c:v>
                </c:pt>
                <c:pt idx="3">
                  <c:v>0.1356</c:v>
                </c:pt>
                <c:pt idx="4">
                  <c:v>0.2465</c:v>
                </c:pt>
                <c:pt idx="5">
                  <c:v>0.2145</c:v>
                </c:pt>
                <c:pt idx="6">
                  <c:v>0.12690000000000001</c:v>
                </c:pt>
                <c:pt idx="7">
                  <c:v>7.2499999999999995E-2</c:v>
                </c:pt>
                <c:pt idx="8">
                  <c:v>0.11890000000000001</c:v>
                </c:pt>
                <c:pt idx="9">
                  <c:v>0.13539999999999999</c:v>
                </c:pt>
              </c:numCache>
            </c:numRef>
          </c:val>
          <c:extLst>
            <c:ext xmlns:c16="http://schemas.microsoft.com/office/drawing/2014/chart" uri="{C3380CC4-5D6E-409C-BE32-E72D297353CC}">
              <c16:uniqueId val="{00000001-5B2A-4CDC-9BF2-7A5010DC8C95}"/>
            </c:ext>
          </c:extLst>
        </c:ser>
        <c:dLbls>
          <c:showLegendKey val="0"/>
          <c:showVal val="0"/>
          <c:showCatName val="0"/>
          <c:showSerName val="0"/>
          <c:showPercent val="0"/>
          <c:showBubbleSize val="0"/>
        </c:dLbls>
        <c:gapWidth val="219"/>
        <c:overlap val="-27"/>
        <c:axId val="254344191"/>
        <c:axId val="254328351"/>
      </c:barChart>
      <c:catAx>
        <c:axId val="2543441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28351"/>
        <c:crosses val="autoZero"/>
        <c:auto val="1"/>
        <c:lblAlgn val="ctr"/>
        <c:lblOffset val="100"/>
        <c:noMultiLvlLbl val="0"/>
      </c:catAx>
      <c:valAx>
        <c:axId val="25432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4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RMSE Comparison from 10.0m target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'Root Mean Squared Error'!$C$126</c:f>
              <c:strCache>
                <c:ptCount val="1"/>
                <c:pt idx="0">
                  <c:v>PX4 RMSE </c:v>
                </c:pt>
              </c:strCache>
            </c:strRef>
          </c:tx>
          <c:spPr>
            <a:solidFill>
              <a:schemeClr val="accent1"/>
            </a:solidFill>
            <a:ln>
              <a:noFill/>
            </a:ln>
            <a:effectLst/>
          </c:spPr>
          <c:invertIfNegative val="0"/>
          <c:val>
            <c:numRef>
              <c:f>'Root Mean Squared Error'!$C$127:$C$136</c:f>
              <c:numCache>
                <c:formatCode>General</c:formatCode>
                <c:ptCount val="10"/>
                <c:pt idx="0">
                  <c:v>0.1968</c:v>
                </c:pt>
                <c:pt idx="1">
                  <c:v>0.19989999999999999</c:v>
                </c:pt>
                <c:pt idx="2">
                  <c:v>0.1153</c:v>
                </c:pt>
                <c:pt idx="3">
                  <c:v>2.5000000000000001E-2</c:v>
                </c:pt>
                <c:pt idx="4">
                  <c:v>4.1500000000000002E-2</c:v>
                </c:pt>
                <c:pt idx="5">
                  <c:v>2.3699999999999999E-2</c:v>
                </c:pt>
                <c:pt idx="6">
                  <c:v>0.15440000000000001</c:v>
                </c:pt>
                <c:pt idx="7">
                  <c:v>5.8000000000000003E-2</c:v>
                </c:pt>
                <c:pt idx="8">
                  <c:v>5.9499999999999997E-2</c:v>
                </c:pt>
                <c:pt idx="9">
                  <c:v>4.4699999999999997E-2</c:v>
                </c:pt>
              </c:numCache>
            </c:numRef>
          </c:val>
          <c:extLst>
            <c:ext xmlns:c16="http://schemas.microsoft.com/office/drawing/2014/chart" uri="{C3380CC4-5D6E-409C-BE32-E72D297353CC}">
              <c16:uniqueId val="{00000000-95D4-4910-8301-785AC25BAC70}"/>
            </c:ext>
          </c:extLst>
        </c:ser>
        <c:ser>
          <c:idx val="1"/>
          <c:order val="1"/>
          <c:tx>
            <c:strRef>
              <c:f>'Root Mean Squared Error'!$D$126</c:f>
              <c:strCache>
                <c:ptCount val="1"/>
                <c:pt idx="0">
                  <c:v>BC Policy RMSE</c:v>
                </c:pt>
              </c:strCache>
            </c:strRef>
          </c:tx>
          <c:spPr>
            <a:solidFill>
              <a:schemeClr val="accent2"/>
            </a:solidFill>
            <a:ln>
              <a:noFill/>
            </a:ln>
            <a:effectLst/>
          </c:spPr>
          <c:invertIfNegative val="0"/>
          <c:val>
            <c:numRef>
              <c:f>'Root Mean Squared Error'!$D$127:$D$136</c:f>
              <c:numCache>
                <c:formatCode>General</c:formatCode>
                <c:ptCount val="10"/>
                <c:pt idx="0">
                  <c:v>0.17219999999999999</c:v>
                </c:pt>
                <c:pt idx="1">
                  <c:v>0.13220000000000001</c:v>
                </c:pt>
                <c:pt idx="2">
                  <c:v>8.7999999999999995E-2</c:v>
                </c:pt>
                <c:pt idx="3">
                  <c:v>8.0699999999999994E-2</c:v>
                </c:pt>
                <c:pt idx="4">
                  <c:v>0.16400000000000001</c:v>
                </c:pt>
                <c:pt idx="5">
                  <c:v>6.2100000000000002E-2</c:v>
                </c:pt>
                <c:pt idx="6">
                  <c:v>0.1201</c:v>
                </c:pt>
                <c:pt idx="7">
                  <c:v>5.8099999999999999E-2</c:v>
                </c:pt>
                <c:pt idx="8">
                  <c:v>0.1598</c:v>
                </c:pt>
                <c:pt idx="9">
                  <c:v>5.1799999999999999E-2</c:v>
                </c:pt>
              </c:numCache>
            </c:numRef>
          </c:val>
          <c:extLst>
            <c:ext xmlns:c16="http://schemas.microsoft.com/office/drawing/2014/chart" uri="{C3380CC4-5D6E-409C-BE32-E72D297353CC}">
              <c16:uniqueId val="{00000001-95D4-4910-8301-785AC25BAC70}"/>
            </c:ext>
          </c:extLst>
        </c:ser>
        <c:dLbls>
          <c:showLegendKey val="0"/>
          <c:showVal val="0"/>
          <c:showCatName val="0"/>
          <c:showSerName val="0"/>
          <c:showPercent val="0"/>
          <c:showBubbleSize val="0"/>
        </c:dLbls>
        <c:gapWidth val="219"/>
        <c:overlap val="-27"/>
        <c:axId val="644464895"/>
        <c:axId val="644460575"/>
      </c:barChart>
      <c:catAx>
        <c:axId val="6444648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0575"/>
        <c:crosses val="autoZero"/>
        <c:auto val="1"/>
        <c:lblAlgn val="ctr"/>
        <c:lblOffset val="100"/>
        <c:noMultiLvlLbl val="0"/>
      </c:catAx>
      <c:valAx>
        <c:axId val="64446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4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b="1"/>
              <a:t>Maximum Horizontal Drift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078811474296258E-2"/>
          <c:y val="0.16601511635361707"/>
          <c:w val="0.90338111055429249"/>
          <c:h val="0.61744585274612795"/>
        </c:manualLayout>
      </c:layout>
      <c:barChart>
        <c:barDir val="col"/>
        <c:grouping val="clustered"/>
        <c:varyColors val="0"/>
        <c:ser>
          <c:idx val="0"/>
          <c:order val="0"/>
          <c:tx>
            <c:strRef>
              <c:f>'Horizontal Drift'!$C$22</c:f>
              <c:strCache>
                <c:ptCount val="1"/>
                <c:pt idx="0">
                  <c:v>PX4 max dist </c:v>
                </c:pt>
              </c:strCache>
            </c:strRef>
          </c:tx>
          <c:spPr>
            <a:solidFill>
              <a:schemeClr val="accent1"/>
            </a:solidFill>
            <a:ln>
              <a:noFill/>
            </a:ln>
            <a:effectLst/>
          </c:spPr>
          <c:invertIfNegative val="0"/>
          <c:val>
            <c:numRef>
              <c:f>'Horizontal Drift'!$C$23:$C$32</c:f>
              <c:numCache>
                <c:formatCode>General</c:formatCode>
                <c:ptCount val="10"/>
                <c:pt idx="0">
                  <c:v>1.93</c:v>
                </c:pt>
                <c:pt idx="1">
                  <c:v>1.0640000000000001</c:v>
                </c:pt>
                <c:pt idx="2">
                  <c:v>1.976</c:v>
                </c:pt>
                <c:pt idx="3">
                  <c:v>2.3250000000000002</c:v>
                </c:pt>
                <c:pt idx="4">
                  <c:v>0.95399999999999996</c:v>
                </c:pt>
                <c:pt idx="5">
                  <c:v>2.7229999999999999</c:v>
                </c:pt>
                <c:pt idx="6">
                  <c:v>1.899</c:v>
                </c:pt>
                <c:pt idx="7">
                  <c:v>1.87</c:v>
                </c:pt>
                <c:pt idx="8">
                  <c:v>0.83599999999999997</c:v>
                </c:pt>
                <c:pt idx="9">
                  <c:v>0.871</c:v>
                </c:pt>
              </c:numCache>
            </c:numRef>
          </c:val>
          <c:extLst>
            <c:ext xmlns:c16="http://schemas.microsoft.com/office/drawing/2014/chart" uri="{C3380CC4-5D6E-409C-BE32-E72D297353CC}">
              <c16:uniqueId val="{00000000-A011-45A6-8CF7-E783CD77E51C}"/>
            </c:ext>
          </c:extLst>
        </c:ser>
        <c:ser>
          <c:idx val="1"/>
          <c:order val="1"/>
          <c:tx>
            <c:strRef>
              <c:f>'Horizontal Drift'!$D$22</c:f>
              <c:strCache>
                <c:ptCount val="1"/>
                <c:pt idx="0">
                  <c:v>BC Policy max dist</c:v>
                </c:pt>
              </c:strCache>
            </c:strRef>
          </c:tx>
          <c:spPr>
            <a:solidFill>
              <a:schemeClr val="accent2"/>
            </a:solidFill>
            <a:ln>
              <a:noFill/>
            </a:ln>
            <a:effectLst/>
          </c:spPr>
          <c:invertIfNegative val="0"/>
          <c:val>
            <c:numRef>
              <c:f>'Horizontal Drift'!$D$23:$D$32</c:f>
              <c:numCache>
                <c:formatCode>General</c:formatCode>
                <c:ptCount val="10"/>
                <c:pt idx="0">
                  <c:v>1.893</c:v>
                </c:pt>
                <c:pt idx="1">
                  <c:v>1.506</c:v>
                </c:pt>
                <c:pt idx="2">
                  <c:v>1.9990000000000001</c:v>
                </c:pt>
                <c:pt idx="3">
                  <c:v>2.3570000000000002</c:v>
                </c:pt>
                <c:pt idx="4">
                  <c:v>1.087</c:v>
                </c:pt>
                <c:pt idx="5">
                  <c:v>2.7829999999999999</c:v>
                </c:pt>
                <c:pt idx="6">
                  <c:v>1.839</c:v>
                </c:pt>
                <c:pt idx="7">
                  <c:v>2.3010000000000002</c:v>
                </c:pt>
                <c:pt idx="8">
                  <c:v>0.84299999999999997</c:v>
                </c:pt>
                <c:pt idx="9">
                  <c:v>0.91200000000000003</c:v>
                </c:pt>
              </c:numCache>
            </c:numRef>
          </c:val>
          <c:extLst>
            <c:ext xmlns:c16="http://schemas.microsoft.com/office/drawing/2014/chart" uri="{C3380CC4-5D6E-409C-BE32-E72D297353CC}">
              <c16:uniqueId val="{00000001-A011-45A6-8CF7-E783CD77E51C}"/>
            </c:ext>
          </c:extLst>
        </c:ser>
        <c:dLbls>
          <c:showLegendKey val="0"/>
          <c:showVal val="0"/>
          <c:showCatName val="0"/>
          <c:showSerName val="0"/>
          <c:showPercent val="0"/>
          <c:showBubbleSize val="0"/>
        </c:dLbls>
        <c:gapWidth val="219"/>
        <c:overlap val="-27"/>
        <c:axId val="2028879552"/>
        <c:axId val="2028896352"/>
      </c:barChart>
      <c:catAx>
        <c:axId val="2028879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96352"/>
        <c:crosses val="autoZero"/>
        <c:auto val="1"/>
        <c:lblAlgn val="ctr"/>
        <c:lblOffset val="100"/>
        <c:noMultiLvlLbl val="0"/>
      </c:catAx>
      <c:valAx>
        <c:axId val="202889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7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 Top 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'Horizontal Drift'!$C$22</c:f>
              <c:strCache>
                <c:ptCount val="1"/>
                <c:pt idx="0">
                  <c:v>PX4 max dist </c:v>
                </c:pt>
              </c:strCache>
            </c:strRef>
          </c:tx>
          <c:spPr>
            <a:ln w="28575" cap="rnd">
              <a:solidFill>
                <a:schemeClr val="accent1"/>
              </a:solidFill>
              <a:round/>
            </a:ln>
            <a:effectLst/>
          </c:spPr>
          <c:marker>
            <c:symbol val="none"/>
          </c:marker>
          <c:val>
            <c:numRef>
              <c:f>'Horizontal Drift'!$C$23:$C$32</c:f>
              <c:numCache>
                <c:formatCode>General</c:formatCode>
                <c:ptCount val="10"/>
                <c:pt idx="0">
                  <c:v>1.93</c:v>
                </c:pt>
                <c:pt idx="1">
                  <c:v>1.0640000000000001</c:v>
                </c:pt>
                <c:pt idx="2">
                  <c:v>1.976</c:v>
                </c:pt>
                <c:pt idx="3">
                  <c:v>2.3250000000000002</c:v>
                </c:pt>
                <c:pt idx="4">
                  <c:v>0.95399999999999996</c:v>
                </c:pt>
                <c:pt idx="5">
                  <c:v>2.7229999999999999</c:v>
                </c:pt>
                <c:pt idx="6">
                  <c:v>1.899</c:v>
                </c:pt>
                <c:pt idx="7">
                  <c:v>1.87</c:v>
                </c:pt>
                <c:pt idx="8">
                  <c:v>0.83599999999999997</c:v>
                </c:pt>
                <c:pt idx="9">
                  <c:v>0.871</c:v>
                </c:pt>
              </c:numCache>
            </c:numRef>
          </c:val>
          <c:extLst>
            <c:ext xmlns:c16="http://schemas.microsoft.com/office/drawing/2014/chart" uri="{C3380CC4-5D6E-409C-BE32-E72D297353CC}">
              <c16:uniqueId val="{00000000-E64A-43DE-B314-1D663C449D14}"/>
            </c:ext>
          </c:extLst>
        </c:ser>
        <c:ser>
          <c:idx val="1"/>
          <c:order val="1"/>
          <c:tx>
            <c:strRef>
              <c:f>'Horizontal Drift'!$D$22</c:f>
              <c:strCache>
                <c:ptCount val="1"/>
                <c:pt idx="0">
                  <c:v>BC Policy max dist</c:v>
                </c:pt>
              </c:strCache>
            </c:strRef>
          </c:tx>
          <c:spPr>
            <a:ln w="28575" cap="rnd">
              <a:solidFill>
                <a:schemeClr val="accent2"/>
              </a:solidFill>
              <a:round/>
            </a:ln>
            <a:effectLst/>
          </c:spPr>
          <c:marker>
            <c:symbol val="none"/>
          </c:marker>
          <c:val>
            <c:numRef>
              <c:f>'Horizontal Drift'!$D$23:$D$32</c:f>
              <c:numCache>
                <c:formatCode>General</c:formatCode>
                <c:ptCount val="10"/>
                <c:pt idx="0">
                  <c:v>1.893</c:v>
                </c:pt>
                <c:pt idx="1">
                  <c:v>1.506</c:v>
                </c:pt>
                <c:pt idx="2">
                  <c:v>1.9990000000000001</c:v>
                </c:pt>
                <c:pt idx="3">
                  <c:v>2.3570000000000002</c:v>
                </c:pt>
                <c:pt idx="4">
                  <c:v>1.087</c:v>
                </c:pt>
                <c:pt idx="5">
                  <c:v>2.7829999999999999</c:v>
                </c:pt>
                <c:pt idx="6">
                  <c:v>1.839</c:v>
                </c:pt>
                <c:pt idx="7">
                  <c:v>2.3010000000000002</c:v>
                </c:pt>
                <c:pt idx="8">
                  <c:v>0.84299999999999997</c:v>
                </c:pt>
                <c:pt idx="9">
                  <c:v>0.91200000000000003</c:v>
                </c:pt>
              </c:numCache>
            </c:numRef>
          </c:val>
          <c:extLst>
            <c:ext xmlns:c16="http://schemas.microsoft.com/office/drawing/2014/chart" uri="{C3380CC4-5D6E-409C-BE32-E72D297353CC}">
              <c16:uniqueId val="{00000001-E64A-43DE-B314-1D663C449D14}"/>
            </c:ext>
          </c:extLst>
        </c:ser>
        <c:dLbls>
          <c:showLegendKey val="0"/>
          <c:showVal val="0"/>
          <c:showCatName val="0"/>
          <c:showSerName val="0"/>
          <c:showPercent val="0"/>
          <c:showBubbleSize val="0"/>
        </c:dLbls>
        <c:axId val="457435728"/>
        <c:axId val="457436208"/>
      </c:radarChart>
      <c:catAx>
        <c:axId val="457435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36208"/>
        <c:crosses val="autoZero"/>
        <c:auto val="1"/>
        <c:lblAlgn val="ctr"/>
        <c:lblOffset val="100"/>
        <c:noMultiLvlLbl val="0"/>
      </c:catAx>
      <c:valAx>
        <c:axId val="4574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35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'Horizontal Drift'!$C$49</c:f>
              <c:strCache>
                <c:ptCount val="1"/>
                <c:pt idx="0">
                  <c:v>PX4 max dist </c:v>
                </c:pt>
              </c:strCache>
            </c:strRef>
          </c:tx>
          <c:spPr>
            <a:solidFill>
              <a:schemeClr val="accent1"/>
            </a:solidFill>
            <a:ln>
              <a:noFill/>
            </a:ln>
            <a:effectLst/>
          </c:spPr>
          <c:invertIfNegative val="0"/>
          <c:val>
            <c:numRef>
              <c:f>'Horizontal Drift'!$C$50:$C$59</c:f>
              <c:numCache>
                <c:formatCode>General</c:formatCode>
                <c:ptCount val="10"/>
                <c:pt idx="0">
                  <c:v>1.8680000000000001</c:v>
                </c:pt>
                <c:pt idx="1">
                  <c:v>1.05</c:v>
                </c:pt>
                <c:pt idx="2">
                  <c:v>2.0059999999999998</c:v>
                </c:pt>
                <c:pt idx="3">
                  <c:v>2.3370000000000002</c:v>
                </c:pt>
                <c:pt idx="4">
                  <c:v>0.99099999999999999</c:v>
                </c:pt>
                <c:pt idx="5">
                  <c:v>2.7629999999999999</c:v>
                </c:pt>
                <c:pt idx="6">
                  <c:v>1.788</c:v>
                </c:pt>
                <c:pt idx="7">
                  <c:v>1.871</c:v>
                </c:pt>
                <c:pt idx="8">
                  <c:v>0.84699999999999998</c:v>
                </c:pt>
                <c:pt idx="9">
                  <c:v>0.91500000000000004</c:v>
                </c:pt>
              </c:numCache>
            </c:numRef>
          </c:val>
          <c:extLst>
            <c:ext xmlns:c16="http://schemas.microsoft.com/office/drawing/2014/chart" uri="{C3380CC4-5D6E-409C-BE32-E72D297353CC}">
              <c16:uniqueId val="{00000000-CFBD-4A52-BE9B-9E763B417E92}"/>
            </c:ext>
          </c:extLst>
        </c:ser>
        <c:ser>
          <c:idx val="1"/>
          <c:order val="1"/>
          <c:tx>
            <c:strRef>
              <c:f>'Horizontal Drift'!$D$49</c:f>
              <c:strCache>
                <c:ptCount val="1"/>
                <c:pt idx="0">
                  <c:v>BC Policy max dist</c:v>
                </c:pt>
              </c:strCache>
            </c:strRef>
          </c:tx>
          <c:spPr>
            <a:solidFill>
              <a:schemeClr val="accent2"/>
            </a:solidFill>
            <a:ln>
              <a:noFill/>
            </a:ln>
            <a:effectLst/>
          </c:spPr>
          <c:invertIfNegative val="0"/>
          <c:val>
            <c:numRef>
              <c:f>'Horizontal Drift'!$D$50:$D$59</c:f>
              <c:numCache>
                <c:formatCode>General</c:formatCode>
                <c:ptCount val="10"/>
                <c:pt idx="0">
                  <c:v>1.9259999999999999</c:v>
                </c:pt>
                <c:pt idx="1">
                  <c:v>1.167</c:v>
                </c:pt>
                <c:pt idx="2">
                  <c:v>2.16</c:v>
                </c:pt>
                <c:pt idx="3">
                  <c:v>2.403</c:v>
                </c:pt>
                <c:pt idx="4">
                  <c:v>0.96799999999999997</c:v>
                </c:pt>
                <c:pt idx="5">
                  <c:v>2.9820000000000002</c:v>
                </c:pt>
                <c:pt idx="6">
                  <c:v>1.847</c:v>
                </c:pt>
                <c:pt idx="7">
                  <c:v>1.7969999999999999</c:v>
                </c:pt>
                <c:pt idx="8">
                  <c:v>1.66</c:v>
                </c:pt>
                <c:pt idx="9">
                  <c:v>1.946</c:v>
                </c:pt>
              </c:numCache>
            </c:numRef>
          </c:val>
          <c:extLst>
            <c:ext xmlns:c16="http://schemas.microsoft.com/office/drawing/2014/chart" uri="{C3380CC4-5D6E-409C-BE32-E72D297353CC}">
              <c16:uniqueId val="{00000001-CFBD-4A52-BE9B-9E763B417E92}"/>
            </c:ext>
          </c:extLst>
        </c:ser>
        <c:dLbls>
          <c:showLegendKey val="0"/>
          <c:showVal val="0"/>
          <c:showCatName val="0"/>
          <c:showSerName val="0"/>
          <c:showPercent val="0"/>
          <c:showBubbleSize val="0"/>
        </c:dLbls>
        <c:gapWidth val="219"/>
        <c:overlap val="-27"/>
        <c:axId val="775120576"/>
        <c:axId val="775131136"/>
      </c:barChart>
      <c:catAx>
        <c:axId val="775120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31136"/>
        <c:crosses val="autoZero"/>
        <c:auto val="1"/>
        <c:lblAlgn val="ctr"/>
        <c:lblOffset val="100"/>
        <c:noMultiLvlLbl val="0"/>
      </c:catAx>
      <c:valAx>
        <c:axId val="77513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20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 Top 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'Horizontal Drift'!$C$49</c:f>
              <c:strCache>
                <c:ptCount val="1"/>
                <c:pt idx="0">
                  <c:v>PX4 max dist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'Horizontal Drift'!$C$50:$C$59</c:f>
              <c:numCache>
                <c:formatCode>General</c:formatCode>
                <c:ptCount val="10"/>
                <c:pt idx="0">
                  <c:v>1.8680000000000001</c:v>
                </c:pt>
                <c:pt idx="1">
                  <c:v>1.05</c:v>
                </c:pt>
                <c:pt idx="2">
                  <c:v>2.0059999999999998</c:v>
                </c:pt>
                <c:pt idx="3">
                  <c:v>2.3370000000000002</c:v>
                </c:pt>
                <c:pt idx="4">
                  <c:v>0.99099999999999999</c:v>
                </c:pt>
                <c:pt idx="5">
                  <c:v>2.7629999999999999</c:v>
                </c:pt>
                <c:pt idx="6">
                  <c:v>1.788</c:v>
                </c:pt>
                <c:pt idx="7">
                  <c:v>1.871</c:v>
                </c:pt>
                <c:pt idx="8">
                  <c:v>0.84699999999999998</c:v>
                </c:pt>
                <c:pt idx="9">
                  <c:v>0.91500000000000004</c:v>
                </c:pt>
              </c:numCache>
            </c:numRef>
          </c:val>
          <c:extLst>
            <c:ext xmlns:c16="http://schemas.microsoft.com/office/drawing/2014/chart" uri="{C3380CC4-5D6E-409C-BE32-E72D297353CC}">
              <c16:uniqueId val="{00000000-0D46-4523-96AF-DE89A3BCF9CE}"/>
            </c:ext>
          </c:extLst>
        </c:ser>
        <c:ser>
          <c:idx val="1"/>
          <c:order val="1"/>
          <c:tx>
            <c:strRef>
              <c:f>'Horizontal Drift'!$D$49</c:f>
              <c:strCache>
                <c:ptCount val="1"/>
                <c:pt idx="0">
                  <c:v>BC Policy max dist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'Horizontal Drift'!$D$50:$D$59</c:f>
              <c:numCache>
                <c:formatCode>General</c:formatCode>
                <c:ptCount val="10"/>
                <c:pt idx="0">
                  <c:v>1.9259999999999999</c:v>
                </c:pt>
                <c:pt idx="1">
                  <c:v>1.167</c:v>
                </c:pt>
                <c:pt idx="2">
                  <c:v>2.16</c:v>
                </c:pt>
                <c:pt idx="3">
                  <c:v>2.403</c:v>
                </c:pt>
                <c:pt idx="4">
                  <c:v>0.96799999999999997</c:v>
                </c:pt>
                <c:pt idx="5">
                  <c:v>2.9820000000000002</c:v>
                </c:pt>
                <c:pt idx="6">
                  <c:v>1.847</c:v>
                </c:pt>
                <c:pt idx="7">
                  <c:v>1.7969999999999999</c:v>
                </c:pt>
                <c:pt idx="8">
                  <c:v>1.66</c:v>
                </c:pt>
                <c:pt idx="9">
                  <c:v>1.946</c:v>
                </c:pt>
              </c:numCache>
            </c:numRef>
          </c:val>
          <c:extLst>
            <c:ext xmlns:c16="http://schemas.microsoft.com/office/drawing/2014/chart" uri="{C3380CC4-5D6E-409C-BE32-E72D297353CC}">
              <c16:uniqueId val="{00000001-0D46-4523-96AF-DE89A3BCF9CE}"/>
            </c:ext>
          </c:extLst>
        </c:ser>
        <c:dLbls>
          <c:showLegendKey val="0"/>
          <c:showVal val="0"/>
          <c:showCatName val="0"/>
          <c:showSerName val="0"/>
          <c:showPercent val="0"/>
          <c:showBubbleSize val="0"/>
        </c:dLbls>
        <c:axId val="775126336"/>
        <c:axId val="775122496"/>
      </c:radarChart>
      <c:catAx>
        <c:axId val="7751263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22496"/>
        <c:crosses val="autoZero"/>
        <c:auto val="1"/>
        <c:lblAlgn val="ctr"/>
        <c:lblOffset val="100"/>
        <c:noMultiLvlLbl val="0"/>
      </c:catAx>
      <c:valAx>
        <c:axId val="77512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26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'Horizontal Drift'!$C$75</c:f>
              <c:strCache>
                <c:ptCount val="1"/>
                <c:pt idx="0">
                  <c:v>PX4 max dist </c:v>
                </c:pt>
              </c:strCache>
            </c:strRef>
          </c:tx>
          <c:spPr>
            <a:solidFill>
              <a:schemeClr val="accent1"/>
            </a:solidFill>
            <a:ln>
              <a:noFill/>
            </a:ln>
            <a:effectLst/>
          </c:spPr>
          <c:invertIfNegative val="0"/>
          <c:val>
            <c:numRef>
              <c:f>'Horizontal Drift'!$C$76:$C$85</c:f>
              <c:numCache>
                <c:formatCode>General</c:formatCode>
                <c:ptCount val="10"/>
                <c:pt idx="0">
                  <c:v>1.905</c:v>
                </c:pt>
                <c:pt idx="1">
                  <c:v>1.032</c:v>
                </c:pt>
                <c:pt idx="2">
                  <c:v>1.96</c:v>
                </c:pt>
                <c:pt idx="3">
                  <c:v>2.3570000000000002</c:v>
                </c:pt>
                <c:pt idx="4">
                  <c:v>0.97399999999999998</c:v>
                </c:pt>
                <c:pt idx="5">
                  <c:v>2.7280000000000002</c:v>
                </c:pt>
                <c:pt idx="6">
                  <c:v>1.839</c:v>
                </c:pt>
                <c:pt idx="7">
                  <c:v>1.8460000000000001</c:v>
                </c:pt>
                <c:pt idx="8">
                  <c:v>0.85599999999999998</c:v>
                </c:pt>
                <c:pt idx="9">
                  <c:v>0.89900000000000002</c:v>
                </c:pt>
              </c:numCache>
            </c:numRef>
          </c:val>
          <c:extLst>
            <c:ext xmlns:c16="http://schemas.microsoft.com/office/drawing/2014/chart" uri="{C3380CC4-5D6E-409C-BE32-E72D297353CC}">
              <c16:uniqueId val="{00000000-2EBC-46CF-AFC9-9467CB4EE821}"/>
            </c:ext>
          </c:extLst>
        </c:ser>
        <c:ser>
          <c:idx val="1"/>
          <c:order val="1"/>
          <c:tx>
            <c:strRef>
              <c:f>'Horizontal Drift'!$D$75</c:f>
              <c:strCache>
                <c:ptCount val="1"/>
                <c:pt idx="0">
                  <c:v>BC Policy max dist</c:v>
                </c:pt>
              </c:strCache>
            </c:strRef>
          </c:tx>
          <c:spPr>
            <a:solidFill>
              <a:schemeClr val="accent2"/>
            </a:solidFill>
            <a:ln>
              <a:noFill/>
            </a:ln>
            <a:effectLst/>
          </c:spPr>
          <c:invertIfNegative val="0"/>
          <c:val>
            <c:numRef>
              <c:f>'Horizontal Drift'!$D$76:$D$85</c:f>
              <c:numCache>
                <c:formatCode>General</c:formatCode>
                <c:ptCount val="10"/>
                <c:pt idx="0">
                  <c:v>1.843</c:v>
                </c:pt>
                <c:pt idx="1">
                  <c:v>1.1950000000000001</c:v>
                </c:pt>
                <c:pt idx="2">
                  <c:v>1.9750000000000001</c:v>
                </c:pt>
                <c:pt idx="3">
                  <c:v>2.3530000000000002</c:v>
                </c:pt>
                <c:pt idx="4">
                  <c:v>0.94299999999999995</c:v>
                </c:pt>
                <c:pt idx="5">
                  <c:v>2.681</c:v>
                </c:pt>
                <c:pt idx="6">
                  <c:v>1.78</c:v>
                </c:pt>
                <c:pt idx="7">
                  <c:v>1.8129999999999999</c:v>
                </c:pt>
                <c:pt idx="8">
                  <c:v>0.78100000000000003</c:v>
                </c:pt>
                <c:pt idx="9">
                  <c:v>1.008</c:v>
                </c:pt>
              </c:numCache>
            </c:numRef>
          </c:val>
          <c:extLst>
            <c:ext xmlns:c16="http://schemas.microsoft.com/office/drawing/2014/chart" uri="{C3380CC4-5D6E-409C-BE32-E72D297353CC}">
              <c16:uniqueId val="{00000001-2EBC-46CF-AFC9-9467CB4EE821}"/>
            </c:ext>
          </c:extLst>
        </c:ser>
        <c:dLbls>
          <c:showLegendKey val="0"/>
          <c:showVal val="0"/>
          <c:showCatName val="0"/>
          <c:showSerName val="0"/>
          <c:showPercent val="0"/>
          <c:showBubbleSize val="0"/>
        </c:dLbls>
        <c:gapWidth val="219"/>
        <c:overlap val="-27"/>
        <c:axId val="644469695"/>
        <c:axId val="644461055"/>
      </c:barChart>
      <c:catAx>
        <c:axId val="64446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1055"/>
        <c:crosses val="autoZero"/>
        <c:auto val="1"/>
        <c:lblAlgn val="ctr"/>
        <c:lblOffset val="100"/>
        <c:noMultiLvlLbl val="0"/>
      </c:catAx>
      <c:valAx>
        <c:axId val="64446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 Top 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'Horizontal Drift'!$C$75</c:f>
              <c:strCache>
                <c:ptCount val="1"/>
                <c:pt idx="0">
                  <c:v>PX4 max dist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'Horizontal Drift'!$C$76:$C$85</c:f>
              <c:numCache>
                <c:formatCode>General</c:formatCode>
                <c:ptCount val="10"/>
                <c:pt idx="0">
                  <c:v>1.905</c:v>
                </c:pt>
                <c:pt idx="1">
                  <c:v>1.032</c:v>
                </c:pt>
                <c:pt idx="2">
                  <c:v>1.96</c:v>
                </c:pt>
                <c:pt idx="3">
                  <c:v>2.3570000000000002</c:v>
                </c:pt>
                <c:pt idx="4">
                  <c:v>0.97399999999999998</c:v>
                </c:pt>
                <c:pt idx="5">
                  <c:v>2.7280000000000002</c:v>
                </c:pt>
                <c:pt idx="6">
                  <c:v>1.839</c:v>
                </c:pt>
                <c:pt idx="7">
                  <c:v>1.8460000000000001</c:v>
                </c:pt>
                <c:pt idx="8">
                  <c:v>0.85599999999999998</c:v>
                </c:pt>
                <c:pt idx="9">
                  <c:v>0.89900000000000002</c:v>
                </c:pt>
              </c:numCache>
            </c:numRef>
          </c:val>
          <c:extLst>
            <c:ext xmlns:c16="http://schemas.microsoft.com/office/drawing/2014/chart" uri="{C3380CC4-5D6E-409C-BE32-E72D297353CC}">
              <c16:uniqueId val="{00000000-F97A-4B2C-91C4-4EB77831EE75}"/>
            </c:ext>
          </c:extLst>
        </c:ser>
        <c:ser>
          <c:idx val="1"/>
          <c:order val="1"/>
          <c:tx>
            <c:strRef>
              <c:f>'Horizontal Drift'!$D$75</c:f>
              <c:strCache>
                <c:ptCount val="1"/>
                <c:pt idx="0">
                  <c:v>BC Policy max dist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'Horizontal Drift'!$D$76:$D$85</c:f>
              <c:numCache>
                <c:formatCode>General</c:formatCode>
                <c:ptCount val="10"/>
                <c:pt idx="0">
                  <c:v>1.843</c:v>
                </c:pt>
                <c:pt idx="1">
                  <c:v>1.1950000000000001</c:v>
                </c:pt>
                <c:pt idx="2">
                  <c:v>1.9750000000000001</c:v>
                </c:pt>
                <c:pt idx="3">
                  <c:v>2.3530000000000002</c:v>
                </c:pt>
                <c:pt idx="4">
                  <c:v>0.94299999999999995</c:v>
                </c:pt>
                <c:pt idx="5">
                  <c:v>2.681</c:v>
                </c:pt>
                <c:pt idx="6">
                  <c:v>1.78</c:v>
                </c:pt>
                <c:pt idx="7">
                  <c:v>1.8129999999999999</c:v>
                </c:pt>
                <c:pt idx="8">
                  <c:v>0.78100000000000003</c:v>
                </c:pt>
                <c:pt idx="9">
                  <c:v>1.008</c:v>
                </c:pt>
              </c:numCache>
            </c:numRef>
          </c:val>
          <c:extLst>
            <c:ext xmlns:c16="http://schemas.microsoft.com/office/drawing/2014/chart" uri="{C3380CC4-5D6E-409C-BE32-E72D297353CC}">
              <c16:uniqueId val="{00000001-F97A-4B2C-91C4-4EB77831EE75}"/>
            </c:ext>
          </c:extLst>
        </c:ser>
        <c:dLbls>
          <c:showLegendKey val="0"/>
          <c:showVal val="0"/>
          <c:showCatName val="0"/>
          <c:showSerName val="0"/>
          <c:showPercent val="0"/>
          <c:showBubbleSize val="0"/>
        </c:dLbls>
        <c:axId val="254308671"/>
        <c:axId val="254298591"/>
      </c:radarChart>
      <c:catAx>
        <c:axId val="2543086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98591"/>
        <c:crosses val="autoZero"/>
        <c:auto val="1"/>
        <c:lblAlgn val="ctr"/>
        <c:lblOffset val="100"/>
        <c:noMultiLvlLbl val="0"/>
      </c:catAx>
      <c:valAx>
        <c:axId val="25429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08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'Horizontal Drift'!$C$101</c:f>
              <c:strCache>
                <c:ptCount val="1"/>
                <c:pt idx="0">
                  <c:v>PX4 max dist </c:v>
                </c:pt>
              </c:strCache>
            </c:strRef>
          </c:tx>
          <c:spPr>
            <a:solidFill>
              <a:schemeClr val="accent1"/>
            </a:solidFill>
            <a:ln>
              <a:noFill/>
            </a:ln>
            <a:effectLst/>
          </c:spPr>
          <c:invertIfNegative val="0"/>
          <c:val>
            <c:numRef>
              <c:f>'Horizontal Drift'!$C$102:$C$111</c:f>
              <c:numCache>
                <c:formatCode>General</c:formatCode>
                <c:ptCount val="10"/>
                <c:pt idx="0">
                  <c:v>1.9339999999999999</c:v>
                </c:pt>
                <c:pt idx="1">
                  <c:v>1.0620000000000001</c:v>
                </c:pt>
                <c:pt idx="2">
                  <c:v>2.0329999999999999</c:v>
                </c:pt>
                <c:pt idx="3">
                  <c:v>2.319</c:v>
                </c:pt>
                <c:pt idx="4">
                  <c:v>0.98599999999999999</c:v>
                </c:pt>
                <c:pt idx="5">
                  <c:v>2.7549999999999999</c:v>
                </c:pt>
                <c:pt idx="6">
                  <c:v>1.905</c:v>
                </c:pt>
                <c:pt idx="7">
                  <c:v>1.8520000000000001</c:v>
                </c:pt>
                <c:pt idx="8">
                  <c:v>0.81699999999999995</c:v>
                </c:pt>
                <c:pt idx="9">
                  <c:v>0.91500000000000004</c:v>
                </c:pt>
              </c:numCache>
            </c:numRef>
          </c:val>
          <c:extLst>
            <c:ext xmlns:c16="http://schemas.microsoft.com/office/drawing/2014/chart" uri="{C3380CC4-5D6E-409C-BE32-E72D297353CC}">
              <c16:uniqueId val="{00000000-AD53-4C8B-B88E-81FF94B6FDDE}"/>
            </c:ext>
          </c:extLst>
        </c:ser>
        <c:ser>
          <c:idx val="1"/>
          <c:order val="1"/>
          <c:tx>
            <c:strRef>
              <c:f>'Horizontal Drift'!$D$101</c:f>
              <c:strCache>
                <c:ptCount val="1"/>
                <c:pt idx="0">
                  <c:v>BC Policy max dist</c:v>
                </c:pt>
              </c:strCache>
            </c:strRef>
          </c:tx>
          <c:spPr>
            <a:solidFill>
              <a:schemeClr val="accent2"/>
            </a:solidFill>
            <a:ln>
              <a:noFill/>
            </a:ln>
            <a:effectLst/>
          </c:spPr>
          <c:invertIfNegative val="0"/>
          <c:val>
            <c:numRef>
              <c:f>'Horizontal Drift'!$D$102:$D$111</c:f>
              <c:numCache>
                <c:formatCode>General</c:formatCode>
                <c:ptCount val="10"/>
                <c:pt idx="0">
                  <c:v>2.077</c:v>
                </c:pt>
                <c:pt idx="1">
                  <c:v>1.8460000000000001</c:v>
                </c:pt>
                <c:pt idx="2">
                  <c:v>2.0619999999999998</c:v>
                </c:pt>
                <c:pt idx="3">
                  <c:v>2.3010000000000002</c:v>
                </c:pt>
                <c:pt idx="4">
                  <c:v>1.1539999999999999</c:v>
                </c:pt>
                <c:pt idx="5">
                  <c:v>2.7770000000000001</c:v>
                </c:pt>
                <c:pt idx="6">
                  <c:v>2.181</c:v>
                </c:pt>
                <c:pt idx="7">
                  <c:v>1.7230000000000001</c:v>
                </c:pt>
                <c:pt idx="8">
                  <c:v>0.88600000000000001</c:v>
                </c:pt>
                <c:pt idx="9">
                  <c:v>1.2849999999999999</c:v>
                </c:pt>
              </c:numCache>
            </c:numRef>
          </c:val>
          <c:extLst>
            <c:ext xmlns:c16="http://schemas.microsoft.com/office/drawing/2014/chart" uri="{C3380CC4-5D6E-409C-BE32-E72D297353CC}">
              <c16:uniqueId val="{00000001-AD53-4C8B-B88E-81FF94B6FDDE}"/>
            </c:ext>
          </c:extLst>
        </c:ser>
        <c:dLbls>
          <c:showLegendKey val="0"/>
          <c:showVal val="0"/>
          <c:showCatName val="0"/>
          <c:showSerName val="0"/>
          <c:showPercent val="0"/>
          <c:showBubbleSize val="0"/>
        </c:dLbls>
        <c:gapWidth val="219"/>
        <c:overlap val="-27"/>
        <c:axId val="254354271"/>
        <c:axId val="254342751"/>
      </c:barChart>
      <c:catAx>
        <c:axId val="2543542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42751"/>
        <c:crosses val="autoZero"/>
        <c:auto val="1"/>
        <c:lblAlgn val="ctr"/>
        <c:lblOffset val="100"/>
        <c:noMultiLvlLbl val="0"/>
      </c:catAx>
      <c:valAx>
        <c:axId val="25434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1" i="0" u="none" strike="noStrike" kern="1200" spc="0" baseline="0">
                <a:solidFill>
                  <a:sysClr val="windowText" lastClr="000000">
                    <a:lumMod val="65000"/>
                    <a:lumOff val="35000"/>
                  </a:sysClr>
                </a:solidFill>
              </a:rPr>
              <a:t>Maximum Horizontal Drift Per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'Horizontal Drift'!$C$101</c:f>
              <c:strCache>
                <c:ptCount val="1"/>
                <c:pt idx="0">
                  <c:v>PX4 max dist </c:v>
                </c:pt>
              </c:strCache>
            </c:strRef>
          </c:tx>
          <c:spPr>
            <a:ln w="28575" cap="rnd">
              <a:solidFill>
                <a:schemeClr val="accent1"/>
              </a:solidFill>
              <a:round/>
            </a:ln>
            <a:effectLst/>
          </c:spPr>
          <c:marker>
            <c:symbol val="none"/>
          </c:marker>
          <c:val>
            <c:numRef>
              <c:f>'Horizontal Drift'!$C$102:$C$111</c:f>
              <c:numCache>
                <c:formatCode>General</c:formatCode>
                <c:ptCount val="10"/>
                <c:pt idx="0">
                  <c:v>1.9339999999999999</c:v>
                </c:pt>
                <c:pt idx="1">
                  <c:v>1.0620000000000001</c:v>
                </c:pt>
                <c:pt idx="2">
                  <c:v>2.0329999999999999</c:v>
                </c:pt>
                <c:pt idx="3">
                  <c:v>2.319</c:v>
                </c:pt>
                <c:pt idx="4">
                  <c:v>0.98599999999999999</c:v>
                </c:pt>
                <c:pt idx="5">
                  <c:v>2.7549999999999999</c:v>
                </c:pt>
                <c:pt idx="6">
                  <c:v>1.905</c:v>
                </c:pt>
                <c:pt idx="7">
                  <c:v>1.8520000000000001</c:v>
                </c:pt>
                <c:pt idx="8">
                  <c:v>0.81699999999999995</c:v>
                </c:pt>
                <c:pt idx="9">
                  <c:v>0.91500000000000004</c:v>
                </c:pt>
              </c:numCache>
            </c:numRef>
          </c:val>
          <c:extLst>
            <c:ext xmlns:c16="http://schemas.microsoft.com/office/drawing/2014/chart" uri="{C3380CC4-5D6E-409C-BE32-E72D297353CC}">
              <c16:uniqueId val="{00000000-A318-4CC4-9808-5B4B630B089A}"/>
            </c:ext>
          </c:extLst>
        </c:ser>
        <c:ser>
          <c:idx val="1"/>
          <c:order val="1"/>
          <c:tx>
            <c:strRef>
              <c:f>'Horizontal Drift'!$D$101</c:f>
              <c:strCache>
                <c:ptCount val="1"/>
                <c:pt idx="0">
                  <c:v>BC Policy max dist</c:v>
                </c:pt>
              </c:strCache>
            </c:strRef>
          </c:tx>
          <c:spPr>
            <a:ln w="28575" cap="rnd">
              <a:solidFill>
                <a:schemeClr val="accent2"/>
              </a:solidFill>
              <a:round/>
            </a:ln>
            <a:effectLst/>
          </c:spPr>
          <c:marker>
            <c:symbol val="none"/>
          </c:marker>
          <c:val>
            <c:numRef>
              <c:f>'Horizontal Drift'!$D$102:$D$111</c:f>
              <c:numCache>
                <c:formatCode>General</c:formatCode>
                <c:ptCount val="10"/>
                <c:pt idx="0">
                  <c:v>2.077</c:v>
                </c:pt>
                <c:pt idx="1">
                  <c:v>1.8460000000000001</c:v>
                </c:pt>
                <c:pt idx="2">
                  <c:v>2.0619999999999998</c:v>
                </c:pt>
                <c:pt idx="3">
                  <c:v>2.3010000000000002</c:v>
                </c:pt>
                <c:pt idx="4">
                  <c:v>1.1539999999999999</c:v>
                </c:pt>
                <c:pt idx="5">
                  <c:v>2.7770000000000001</c:v>
                </c:pt>
                <c:pt idx="6">
                  <c:v>2.181</c:v>
                </c:pt>
                <c:pt idx="7">
                  <c:v>1.7230000000000001</c:v>
                </c:pt>
                <c:pt idx="8">
                  <c:v>0.88600000000000001</c:v>
                </c:pt>
                <c:pt idx="9">
                  <c:v>1.2849999999999999</c:v>
                </c:pt>
              </c:numCache>
            </c:numRef>
          </c:val>
          <c:extLst>
            <c:ext xmlns:c16="http://schemas.microsoft.com/office/drawing/2014/chart" uri="{C3380CC4-5D6E-409C-BE32-E72D297353CC}">
              <c16:uniqueId val="{00000001-A318-4CC4-9808-5B4B630B089A}"/>
            </c:ext>
          </c:extLst>
        </c:ser>
        <c:dLbls>
          <c:showLegendKey val="0"/>
          <c:showVal val="0"/>
          <c:showCatName val="0"/>
          <c:showSerName val="0"/>
          <c:showPercent val="0"/>
          <c:showBubbleSize val="0"/>
        </c:dLbls>
        <c:axId val="644479775"/>
        <c:axId val="644463455"/>
      </c:radarChart>
      <c:catAx>
        <c:axId val="6444797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3455"/>
        <c:crosses val="autoZero"/>
        <c:auto val="1"/>
        <c:lblAlgn val="ctr"/>
        <c:lblOffset val="100"/>
        <c:noMultiLvlLbl val="0"/>
      </c:catAx>
      <c:valAx>
        <c:axId val="64446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97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150018</xdr:colOff>
      <xdr:row>2</xdr:row>
      <xdr:rowOff>71437</xdr:rowOff>
    </xdr:from>
    <xdr:to>
      <xdr:col>13</xdr:col>
      <xdr:colOff>188118</xdr:colOff>
      <xdr:row>17</xdr:row>
      <xdr:rowOff>100012</xdr:rowOff>
    </xdr:to>
    <xdr:graphicFrame macro="">
      <xdr:nvGraphicFramePr>
        <xdr:cNvPr id="3" name="Chart 2">
          <a:extLst>
            <a:ext uri="{FF2B5EF4-FFF2-40B4-BE49-F238E27FC236}">
              <a16:creationId xmlns:a16="http://schemas.microsoft.com/office/drawing/2014/main" id="{5432F6F9-84F5-D825-46B3-0EAE3615F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402431</xdr:colOff>
      <xdr:row>2</xdr:row>
      <xdr:rowOff>71437</xdr:rowOff>
    </xdr:from>
    <xdr:to>
      <xdr:col>20</xdr:col>
      <xdr:colOff>440531</xdr:colOff>
      <xdr:row>17</xdr:row>
      <xdr:rowOff>100012</xdr:rowOff>
    </xdr:to>
    <xdr:graphicFrame macro="">
      <xdr:nvGraphicFramePr>
        <xdr:cNvPr id="6" name="Chart 5">
          <a:extLst>
            <a:ext uri="{FF2B5EF4-FFF2-40B4-BE49-F238E27FC236}">
              <a16:creationId xmlns:a16="http://schemas.microsoft.com/office/drawing/2014/main" id="{24E7A491-30E3-0B4C-362F-10F9A70E0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459442</xdr:colOff>
      <xdr:row>9</xdr:row>
      <xdr:rowOff>67722</xdr:rowOff>
    </xdr:from>
    <xdr:to>
      <xdr:col>13</xdr:col>
      <xdr:colOff>204386</xdr:colOff>
      <xdr:row>9</xdr:row>
      <xdr:rowOff>78441</xdr:rowOff>
    </xdr:to>
    <xdr:cxnSp macro="">
      <xdr:nvCxnSpPr>
        <xdr:cNvPr id="8" name="Straight Connector 7">
          <a:extLst>
            <a:ext uri="{FF2B5EF4-FFF2-40B4-BE49-F238E27FC236}">
              <a16:creationId xmlns:a16="http://schemas.microsoft.com/office/drawing/2014/main" id="{7E567B65-8031-F952-B5C3-20435CB8A923}"/>
            </a:ext>
          </a:extLst>
        </xdr:cNvPr>
        <xdr:cNvCxnSpPr/>
      </xdr:nvCxnSpPr>
      <xdr:spPr>
        <a:xfrm flipV="1">
          <a:off x="4997824" y="1731796"/>
          <a:ext cx="4294533" cy="10719"/>
        </a:xfrm>
        <a:prstGeom prst="line">
          <a:avLst/>
        </a:prstGeom>
        <a:ln w="3492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487456</xdr:colOff>
      <xdr:row>7</xdr:row>
      <xdr:rowOff>78441</xdr:rowOff>
    </xdr:from>
    <xdr:to>
      <xdr:col>13</xdr:col>
      <xdr:colOff>599514</xdr:colOff>
      <xdr:row>9</xdr:row>
      <xdr:rowOff>39220</xdr:rowOff>
    </xdr:to>
    <xdr:sp macro="" textlink="">
      <xdr:nvSpPr>
        <xdr:cNvPr id="10" name="Rectangle 9">
          <a:extLst>
            <a:ext uri="{FF2B5EF4-FFF2-40B4-BE49-F238E27FC236}">
              <a16:creationId xmlns:a16="http://schemas.microsoft.com/office/drawing/2014/main" id="{A40C6CAD-A7DD-E7ED-01B1-422113B0B526}"/>
            </a:ext>
          </a:extLst>
        </xdr:cNvPr>
        <xdr:cNvSpPr/>
      </xdr:nvSpPr>
      <xdr:spPr>
        <a:xfrm>
          <a:off x="8275544" y="1383927"/>
          <a:ext cx="1411941" cy="3193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target 10.0m</a:t>
          </a:r>
        </a:p>
      </xdr:txBody>
    </xdr:sp>
    <xdr:clientData/>
  </xdr:twoCellAnchor>
  <xdr:twoCellAnchor>
    <xdr:from>
      <xdr:col>5</xdr:col>
      <xdr:colOff>647140</xdr:colOff>
      <xdr:row>28</xdr:row>
      <xdr:rowOff>172009</xdr:rowOff>
    </xdr:from>
    <xdr:to>
      <xdr:col>13</xdr:col>
      <xdr:colOff>190499</xdr:colOff>
      <xdr:row>44</xdr:row>
      <xdr:rowOff>140073</xdr:rowOff>
    </xdr:to>
    <xdr:graphicFrame macro="">
      <xdr:nvGraphicFramePr>
        <xdr:cNvPr id="13" name="Chart 12">
          <a:extLst>
            <a:ext uri="{FF2B5EF4-FFF2-40B4-BE49-F238E27FC236}">
              <a16:creationId xmlns:a16="http://schemas.microsoft.com/office/drawing/2014/main" id="{8D3B6741-415A-3BD7-CCD9-42A997CB6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619125</xdr:colOff>
      <xdr:row>28</xdr:row>
      <xdr:rowOff>155201</xdr:rowOff>
    </xdr:from>
    <xdr:to>
      <xdr:col>20</xdr:col>
      <xdr:colOff>641537</xdr:colOff>
      <xdr:row>44</xdr:row>
      <xdr:rowOff>29695</xdr:rowOff>
    </xdr:to>
    <xdr:graphicFrame macro="">
      <xdr:nvGraphicFramePr>
        <xdr:cNvPr id="14" name="Chart 13">
          <a:extLst>
            <a:ext uri="{FF2B5EF4-FFF2-40B4-BE49-F238E27FC236}">
              <a16:creationId xmlns:a16="http://schemas.microsoft.com/office/drawing/2014/main" id="{EC788155-E0FE-14F0-56CB-40D508033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647139</xdr:colOff>
      <xdr:row>59</xdr:row>
      <xdr:rowOff>87966</xdr:rowOff>
    </xdr:from>
    <xdr:to>
      <xdr:col>13</xdr:col>
      <xdr:colOff>19610</xdr:colOff>
      <xdr:row>74</xdr:row>
      <xdr:rowOff>141754</xdr:rowOff>
    </xdr:to>
    <xdr:graphicFrame macro="">
      <xdr:nvGraphicFramePr>
        <xdr:cNvPr id="2" name="Chart 1">
          <a:extLst>
            <a:ext uri="{FF2B5EF4-FFF2-40B4-BE49-F238E27FC236}">
              <a16:creationId xmlns:a16="http://schemas.microsoft.com/office/drawing/2014/main" id="{873A6393-6451-9210-F689-B59AB015A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636134</xdr:colOff>
      <xdr:row>58</xdr:row>
      <xdr:rowOff>172808</xdr:rowOff>
    </xdr:from>
    <xdr:to>
      <xdr:col>21</xdr:col>
      <xdr:colOff>37419</xdr:colOff>
      <xdr:row>73</xdr:row>
      <xdr:rowOff>160562</xdr:rowOff>
    </xdr:to>
    <xdr:graphicFrame macro="">
      <xdr:nvGraphicFramePr>
        <xdr:cNvPr id="12" name="Chart 11">
          <a:extLst>
            <a:ext uri="{FF2B5EF4-FFF2-40B4-BE49-F238E27FC236}">
              <a16:creationId xmlns:a16="http://schemas.microsoft.com/office/drawing/2014/main" id="{ED7BE6BA-CAD2-B4B9-94F1-DE2F92DF3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23811</xdr:colOff>
      <xdr:row>83</xdr:row>
      <xdr:rowOff>23131</xdr:rowOff>
    </xdr:from>
    <xdr:to>
      <xdr:col>13</xdr:col>
      <xdr:colOff>71437</xdr:colOff>
      <xdr:row>98</xdr:row>
      <xdr:rowOff>10884</xdr:rowOff>
    </xdr:to>
    <xdr:graphicFrame macro="">
      <xdr:nvGraphicFramePr>
        <xdr:cNvPr id="15" name="Chart 14">
          <a:extLst>
            <a:ext uri="{FF2B5EF4-FFF2-40B4-BE49-F238E27FC236}">
              <a16:creationId xmlns:a16="http://schemas.microsoft.com/office/drawing/2014/main" id="{14684C15-2FF8-E62E-D1FD-C361448F5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378198</xdr:colOff>
      <xdr:row>87</xdr:row>
      <xdr:rowOff>145932</xdr:rowOff>
    </xdr:from>
    <xdr:to>
      <xdr:col>13</xdr:col>
      <xdr:colOff>93245</xdr:colOff>
      <xdr:row>87</xdr:row>
      <xdr:rowOff>157094</xdr:rowOff>
    </xdr:to>
    <xdr:cxnSp macro="">
      <xdr:nvCxnSpPr>
        <xdr:cNvPr id="16" name="Straight Connector 15">
          <a:extLst>
            <a:ext uri="{FF2B5EF4-FFF2-40B4-BE49-F238E27FC236}">
              <a16:creationId xmlns:a16="http://schemas.microsoft.com/office/drawing/2014/main" id="{37E9F847-3D7F-FCD4-4407-74CCEB049AF2}"/>
            </a:ext>
          </a:extLst>
        </xdr:cNvPr>
        <xdr:cNvCxnSpPr/>
      </xdr:nvCxnSpPr>
      <xdr:spPr>
        <a:xfrm flipV="1">
          <a:off x="5241551" y="16181550"/>
          <a:ext cx="4264635" cy="11162"/>
        </a:xfrm>
        <a:prstGeom prst="line">
          <a:avLst/>
        </a:prstGeom>
        <a:ln w="3492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42515</xdr:colOff>
      <xdr:row>85</xdr:row>
      <xdr:rowOff>170090</xdr:rowOff>
    </xdr:from>
    <xdr:to>
      <xdr:col>13</xdr:col>
      <xdr:colOff>143672</xdr:colOff>
      <xdr:row>87</xdr:row>
      <xdr:rowOff>135140</xdr:rowOff>
    </xdr:to>
    <xdr:sp macro="" textlink="">
      <xdr:nvSpPr>
        <xdr:cNvPr id="17" name="Rectangle 16">
          <a:extLst>
            <a:ext uri="{FF2B5EF4-FFF2-40B4-BE49-F238E27FC236}">
              <a16:creationId xmlns:a16="http://schemas.microsoft.com/office/drawing/2014/main" id="{8A329C63-A224-4CC7-69FD-429C8BB7B8B0}"/>
            </a:ext>
          </a:extLst>
        </xdr:cNvPr>
        <xdr:cNvSpPr/>
      </xdr:nvSpPr>
      <xdr:spPr>
        <a:xfrm>
          <a:off x="8125158" y="16144876"/>
          <a:ext cx="1393835" cy="332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a:solidFill>
                <a:srgbClr val="FF0000"/>
              </a:solidFill>
            </a:rPr>
            <a:t>target 10.0m</a:t>
          </a:r>
        </a:p>
      </xdr:txBody>
    </xdr:sp>
    <xdr:clientData/>
  </xdr:twoCellAnchor>
  <xdr:twoCellAnchor>
    <xdr:from>
      <xdr:col>14</xdr:col>
      <xdr:colOff>23812</xdr:colOff>
      <xdr:row>82</xdr:row>
      <xdr:rowOff>172810</xdr:rowOff>
    </xdr:from>
    <xdr:to>
      <xdr:col>21</xdr:col>
      <xdr:colOff>71437</xdr:colOff>
      <xdr:row>97</xdr:row>
      <xdr:rowOff>160564</xdr:rowOff>
    </xdr:to>
    <xdr:graphicFrame macro="">
      <xdr:nvGraphicFramePr>
        <xdr:cNvPr id="18" name="Chart 17">
          <a:extLst>
            <a:ext uri="{FF2B5EF4-FFF2-40B4-BE49-F238E27FC236}">
              <a16:creationId xmlns:a16="http://schemas.microsoft.com/office/drawing/2014/main" id="{DD22683C-E07B-A2C1-9222-3EDF8C2FD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0.09453</cdr:x>
      <cdr:y>0.40125</cdr:y>
    </cdr:from>
    <cdr:to>
      <cdr:x>1</cdr:x>
      <cdr:y>0.40503</cdr:y>
    </cdr:to>
    <cdr:cxnSp macro="">
      <cdr:nvCxnSpPr>
        <cdr:cNvPr id="2" name="Straight Connector 1">
          <a:extLst xmlns:a="http://schemas.openxmlformats.org/drawingml/2006/main">
            <a:ext uri="{FF2B5EF4-FFF2-40B4-BE49-F238E27FC236}">
              <a16:creationId xmlns:a16="http://schemas.microsoft.com/office/drawing/2014/main" id="{7E567B65-8031-F952-B5C3-20435CB8A923}"/>
            </a:ext>
          </a:extLst>
        </cdr:cNvPr>
        <cdr:cNvCxnSpPr/>
      </cdr:nvCxnSpPr>
      <cdr:spPr>
        <a:xfrm xmlns:a="http://schemas.openxmlformats.org/drawingml/2006/main" flipV="1">
          <a:off x="448356" y="1138258"/>
          <a:ext cx="4294532" cy="10719"/>
        </a:xfrm>
        <a:prstGeom xmlns:a="http://schemas.openxmlformats.org/drawingml/2006/main" prst="line">
          <a:avLst/>
        </a:prstGeom>
        <a:ln xmlns:a="http://schemas.openxmlformats.org/drawingml/2006/main" w="34925" cap="flat" cmpd="sng" algn="ctr">
          <a:solidFill>
            <a:srgbClr val="FF0000"/>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0.7023</cdr:x>
      <cdr:y>0.2964</cdr:y>
    </cdr:from>
    <cdr:to>
      <cdr:x>1</cdr:x>
      <cdr:y>0.40898</cdr:y>
    </cdr:to>
    <cdr:sp macro="" textlink="">
      <cdr:nvSpPr>
        <cdr:cNvPr id="3" name="Rectangle 2">
          <a:extLst xmlns:a="http://schemas.openxmlformats.org/drawingml/2006/main">
            <a:ext uri="{FF2B5EF4-FFF2-40B4-BE49-F238E27FC236}">
              <a16:creationId xmlns:a16="http://schemas.microsoft.com/office/drawing/2014/main" id="{A40C6CAD-A7DD-E7ED-01B1-422113B0B526}"/>
            </a:ext>
          </a:extLst>
        </cdr:cNvPr>
        <cdr:cNvSpPr/>
      </cdr:nvSpPr>
      <cdr:spPr>
        <a:xfrm xmlns:a="http://schemas.openxmlformats.org/drawingml/2006/main">
          <a:off x="3330947" y="840815"/>
          <a:ext cx="1411941" cy="31936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MY" sz="1100" b="1">
              <a:solidFill>
                <a:srgbClr val="FF0000"/>
              </a:solidFill>
            </a:rPr>
            <a:t>target 10.0m</a:t>
          </a:r>
        </a:p>
      </cdr:txBody>
    </cdr:sp>
  </cdr:relSizeAnchor>
</c:userShapes>
</file>

<file path=xl/drawings/drawing3.xml><?xml version="1.0" encoding="utf-8"?>
<c:userShapes xmlns:c="http://schemas.openxmlformats.org/drawingml/2006/chart">
  <cdr:relSizeAnchor xmlns:cdr="http://schemas.openxmlformats.org/drawingml/2006/chartDrawing">
    <cdr:from>
      <cdr:x>0.06686</cdr:x>
      <cdr:y>0.29213</cdr:y>
    </cdr:from>
    <cdr:to>
      <cdr:x>1</cdr:x>
      <cdr:y>0.2961</cdr:y>
    </cdr:to>
    <cdr:cxnSp macro="">
      <cdr:nvCxnSpPr>
        <cdr:cNvPr id="2" name="Straight Connector 1">
          <a:extLst xmlns:a="http://schemas.openxmlformats.org/drawingml/2006/main">
            <a:ext uri="{FF2B5EF4-FFF2-40B4-BE49-F238E27FC236}">
              <a16:creationId xmlns:a16="http://schemas.microsoft.com/office/drawing/2014/main" id="{54EBE35C-C748-4B4B-A1E2-C312F180FEB8}"/>
            </a:ext>
          </a:extLst>
        </cdr:cNvPr>
        <cdr:cNvCxnSpPr/>
      </cdr:nvCxnSpPr>
      <cdr:spPr>
        <a:xfrm xmlns:a="http://schemas.openxmlformats.org/drawingml/2006/main" flipV="1">
          <a:off x="305691" y="801374"/>
          <a:ext cx="4266309" cy="10900"/>
        </a:xfrm>
        <a:prstGeom xmlns:a="http://schemas.openxmlformats.org/drawingml/2006/main" prst="line">
          <a:avLst/>
        </a:prstGeom>
        <a:ln xmlns:a="http://schemas.openxmlformats.org/drawingml/2006/main" w="34925" cap="flat" cmpd="sng" algn="ctr">
          <a:solidFill>
            <a:srgbClr val="FF0000"/>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0.6932</cdr:x>
      <cdr:y>0.18192</cdr:y>
    </cdr:from>
    <cdr:to>
      <cdr:x>1</cdr:x>
      <cdr:y>0.30026</cdr:y>
    </cdr:to>
    <cdr:sp macro="" textlink="">
      <cdr:nvSpPr>
        <cdr:cNvPr id="3" name="Rectangle 2">
          <a:extLst xmlns:a="http://schemas.openxmlformats.org/drawingml/2006/main">
            <a:ext uri="{FF2B5EF4-FFF2-40B4-BE49-F238E27FC236}">
              <a16:creationId xmlns:a16="http://schemas.microsoft.com/office/drawing/2014/main" id="{C48523D5-4185-2988-3879-53D4D5A76BE4}"/>
            </a:ext>
          </a:extLst>
        </cdr:cNvPr>
        <cdr:cNvSpPr/>
      </cdr:nvSpPr>
      <cdr:spPr>
        <a:xfrm xmlns:a="http://schemas.openxmlformats.org/drawingml/2006/main">
          <a:off x="3169325" y="499035"/>
          <a:ext cx="1402675" cy="32462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MY" sz="1100" b="1">
              <a:solidFill>
                <a:srgbClr val="FF0000"/>
              </a:solidFill>
            </a:rPr>
            <a:t>target 10.0m</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16668</xdr:colOff>
      <xdr:row>17</xdr:row>
      <xdr:rowOff>171450</xdr:rowOff>
    </xdr:from>
    <xdr:to>
      <xdr:col>13</xdr:col>
      <xdr:colOff>204787</xdr:colOff>
      <xdr:row>34</xdr:row>
      <xdr:rowOff>133350</xdr:rowOff>
    </xdr:to>
    <xdr:graphicFrame macro="">
      <xdr:nvGraphicFramePr>
        <xdr:cNvPr id="2" name="Chart 1">
          <a:extLst>
            <a:ext uri="{FF2B5EF4-FFF2-40B4-BE49-F238E27FC236}">
              <a16:creationId xmlns:a16="http://schemas.microsoft.com/office/drawing/2014/main" id="{ABD441C7-E2FF-AFA3-67C0-957650376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37418</xdr:colOff>
      <xdr:row>51</xdr:row>
      <xdr:rowOff>16326</xdr:rowOff>
    </xdr:from>
    <xdr:to>
      <xdr:col>13</xdr:col>
      <xdr:colOff>61230</xdr:colOff>
      <xdr:row>67</xdr:row>
      <xdr:rowOff>102053</xdr:rowOff>
    </xdr:to>
    <xdr:graphicFrame macro="">
      <xdr:nvGraphicFramePr>
        <xdr:cNvPr id="5" name="Chart 4">
          <a:extLst>
            <a:ext uri="{FF2B5EF4-FFF2-40B4-BE49-F238E27FC236}">
              <a16:creationId xmlns:a16="http://schemas.microsoft.com/office/drawing/2014/main" id="{4757A3FE-35E3-5A2A-196B-3F64BC862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25213</xdr:colOff>
      <xdr:row>95</xdr:row>
      <xdr:rowOff>65554</xdr:rowOff>
    </xdr:from>
    <xdr:to>
      <xdr:col>12</xdr:col>
      <xdr:colOff>459441</xdr:colOff>
      <xdr:row>110</xdr:row>
      <xdr:rowOff>134470</xdr:rowOff>
    </xdr:to>
    <xdr:graphicFrame macro="">
      <xdr:nvGraphicFramePr>
        <xdr:cNvPr id="3" name="Chart 2">
          <a:extLst>
            <a:ext uri="{FF2B5EF4-FFF2-40B4-BE49-F238E27FC236}">
              <a16:creationId xmlns:a16="http://schemas.microsoft.com/office/drawing/2014/main" id="{DEA9EBAB-52B8-49C9-415E-DDBC68DDF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14006</xdr:colOff>
      <xdr:row>124</xdr:row>
      <xdr:rowOff>177612</xdr:rowOff>
    </xdr:from>
    <xdr:to>
      <xdr:col>11</xdr:col>
      <xdr:colOff>557492</xdr:colOff>
      <xdr:row>140</xdr:row>
      <xdr:rowOff>52107</xdr:rowOff>
    </xdr:to>
    <xdr:graphicFrame macro="">
      <xdr:nvGraphicFramePr>
        <xdr:cNvPr id="4" name="Chart 3">
          <a:extLst>
            <a:ext uri="{FF2B5EF4-FFF2-40B4-BE49-F238E27FC236}">
              <a16:creationId xmlns:a16="http://schemas.microsoft.com/office/drawing/2014/main" id="{FE25F9FC-67C2-69BF-C8D6-82B7D72E3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35717</xdr:colOff>
      <xdr:row>21</xdr:row>
      <xdr:rowOff>0</xdr:rowOff>
    </xdr:from>
    <xdr:to>
      <xdr:col>12</xdr:col>
      <xdr:colOff>381000</xdr:colOff>
      <xdr:row>36</xdr:row>
      <xdr:rowOff>71439</xdr:rowOff>
    </xdr:to>
    <xdr:graphicFrame macro="">
      <xdr:nvGraphicFramePr>
        <xdr:cNvPr id="2" name="Chart 1">
          <a:extLst>
            <a:ext uri="{FF2B5EF4-FFF2-40B4-BE49-F238E27FC236}">
              <a16:creationId xmlns:a16="http://schemas.microsoft.com/office/drawing/2014/main" id="{0BAE8FAE-F2AC-1302-FCE2-5B513CCFE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588167</xdr:colOff>
      <xdr:row>21</xdr:row>
      <xdr:rowOff>52386</xdr:rowOff>
    </xdr:from>
    <xdr:to>
      <xdr:col>20</xdr:col>
      <xdr:colOff>0</xdr:colOff>
      <xdr:row>36</xdr:row>
      <xdr:rowOff>123825</xdr:rowOff>
    </xdr:to>
    <xdr:graphicFrame macro="">
      <xdr:nvGraphicFramePr>
        <xdr:cNvPr id="3" name="Chart 2">
          <a:extLst>
            <a:ext uri="{FF2B5EF4-FFF2-40B4-BE49-F238E27FC236}">
              <a16:creationId xmlns:a16="http://schemas.microsoft.com/office/drawing/2014/main" id="{6C37E0DA-4B11-7C24-48F1-CD1F5CC80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312964</xdr:colOff>
      <xdr:row>47</xdr:row>
      <xdr:rowOff>166003</xdr:rowOff>
    </xdr:from>
    <xdr:to>
      <xdr:col>12</xdr:col>
      <xdr:colOff>374196</xdr:colOff>
      <xdr:row>67</xdr:row>
      <xdr:rowOff>129267</xdr:rowOff>
    </xdr:to>
    <xdr:graphicFrame macro="">
      <xdr:nvGraphicFramePr>
        <xdr:cNvPr id="4" name="Chart 3">
          <a:extLst>
            <a:ext uri="{FF2B5EF4-FFF2-40B4-BE49-F238E27FC236}">
              <a16:creationId xmlns:a16="http://schemas.microsoft.com/office/drawing/2014/main" id="{954FF6B4-7E3B-473C-F276-F1575C755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37419</xdr:colOff>
      <xdr:row>47</xdr:row>
      <xdr:rowOff>152397</xdr:rowOff>
    </xdr:from>
    <xdr:to>
      <xdr:col>21</xdr:col>
      <xdr:colOff>401411</xdr:colOff>
      <xdr:row>67</xdr:row>
      <xdr:rowOff>68035</xdr:rowOff>
    </xdr:to>
    <xdr:graphicFrame macro="">
      <xdr:nvGraphicFramePr>
        <xdr:cNvPr id="5" name="Chart 4">
          <a:extLst>
            <a:ext uri="{FF2B5EF4-FFF2-40B4-BE49-F238E27FC236}">
              <a16:creationId xmlns:a16="http://schemas.microsoft.com/office/drawing/2014/main" id="{EA1E1C35-6CA5-1DC3-E0E1-0E917D9A4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316564</xdr:colOff>
      <xdr:row>74</xdr:row>
      <xdr:rowOff>9523</xdr:rowOff>
    </xdr:from>
    <xdr:to>
      <xdr:col>12</xdr:col>
      <xdr:colOff>268941</xdr:colOff>
      <xdr:row>90</xdr:row>
      <xdr:rowOff>84042</xdr:rowOff>
    </xdr:to>
    <xdr:graphicFrame macro="">
      <xdr:nvGraphicFramePr>
        <xdr:cNvPr id="6" name="Chart 5">
          <a:extLst>
            <a:ext uri="{FF2B5EF4-FFF2-40B4-BE49-F238E27FC236}">
              <a16:creationId xmlns:a16="http://schemas.microsoft.com/office/drawing/2014/main" id="{8EDD1CE7-2926-EFA5-B6E3-DB9242A0A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523874</xdr:colOff>
      <xdr:row>73</xdr:row>
      <xdr:rowOff>166406</xdr:rowOff>
    </xdr:from>
    <xdr:to>
      <xdr:col>20</xdr:col>
      <xdr:colOff>420220</xdr:colOff>
      <xdr:row>90</xdr:row>
      <xdr:rowOff>100852</xdr:rowOff>
    </xdr:to>
    <xdr:graphicFrame macro="">
      <xdr:nvGraphicFramePr>
        <xdr:cNvPr id="7" name="Chart 6">
          <a:extLst>
            <a:ext uri="{FF2B5EF4-FFF2-40B4-BE49-F238E27FC236}">
              <a16:creationId xmlns:a16="http://schemas.microsoft.com/office/drawing/2014/main" id="{48F6A30F-70C5-5125-1D25-FDF685C2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249329</xdr:colOff>
      <xdr:row>100</xdr:row>
      <xdr:rowOff>3921</xdr:rowOff>
    </xdr:from>
    <xdr:to>
      <xdr:col>12</xdr:col>
      <xdr:colOff>61631</xdr:colOff>
      <xdr:row>115</xdr:row>
      <xdr:rowOff>57709</xdr:rowOff>
    </xdr:to>
    <xdr:graphicFrame macro="">
      <xdr:nvGraphicFramePr>
        <xdr:cNvPr id="8" name="Chart 7">
          <a:extLst>
            <a:ext uri="{FF2B5EF4-FFF2-40B4-BE49-F238E27FC236}">
              <a16:creationId xmlns:a16="http://schemas.microsoft.com/office/drawing/2014/main" id="{BC23AF02-70D0-A45F-497B-CB77FE2DB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484654</xdr:colOff>
      <xdr:row>99</xdr:row>
      <xdr:rowOff>93568</xdr:rowOff>
    </xdr:from>
    <xdr:to>
      <xdr:col>19</xdr:col>
      <xdr:colOff>507066</xdr:colOff>
      <xdr:row>114</xdr:row>
      <xdr:rowOff>147356</xdr:rowOff>
    </xdr:to>
    <xdr:graphicFrame macro="">
      <xdr:nvGraphicFramePr>
        <xdr:cNvPr id="9" name="Chart 8">
          <a:extLst>
            <a:ext uri="{FF2B5EF4-FFF2-40B4-BE49-F238E27FC236}">
              <a16:creationId xmlns:a16="http://schemas.microsoft.com/office/drawing/2014/main" id="{80CE0F3B-FFE5-59F4-653D-3CE466A80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646043</xdr:colOff>
      <xdr:row>7</xdr:row>
      <xdr:rowOff>33337</xdr:rowOff>
    </xdr:from>
    <xdr:to>
      <xdr:col>7</xdr:col>
      <xdr:colOff>459441</xdr:colOff>
      <xdr:row>33</xdr:row>
      <xdr:rowOff>117662</xdr:rowOff>
    </xdr:to>
    <xdr:grpSp>
      <xdr:nvGrpSpPr>
        <xdr:cNvPr id="9" name="Group 8">
          <a:extLst>
            <a:ext uri="{FF2B5EF4-FFF2-40B4-BE49-F238E27FC236}">
              <a16:creationId xmlns:a16="http://schemas.microsoft.com/office/drawing/2014/main" id="{449FDBFE-5AF6-2031-E7EB-A4B6BAEEAB71}"/>
            </a:ext>
          </a:extLst>
        </xdr:cNvPr>
        <xdr:cNvGrpSpPr/>
      </xdr:nvGrpSpPr>
      <xdr:grpSpPr>
        <a:xfrm>
          <a:off x="646043" y="1288396"/>
          <a:ext cx="11170560" cy="4745972"/>
          <a:chOff x="671513" y="1285875"/>
          <a:chExt cx="7620056" cy="4562508"/>
        </a:xfrm>
      </xdr:grpSpPr>
      <xdr:pic>
        <xdr:nvPicPr>
          <xdr:cNvPr id="2" name="Picture 1">
            <a:extLst>
              <a:ext uri="{FF2B5EF4-FFF2-40B4-BE49-F238E27FC236}">
                <a16:creationId xmlns:a16="http://schemas.microsoft.com/office/drawing/2014/main" id="{A20DAB0C-7B09-DC1F-03AB-7D5E4A76F6C0}"/>
              </a:ext>
            </a:extLst>
          </xdr:cNvPr>
          <xdr:cNvPicPr>
            <a:picLocks noChangeAspect="1"/>
          </xdr:cNvPicPr>
        </xdr:nvPicPr>
        <xdr:blipFill>
          <a:blip xmlns:r="http://schemas.openxmlformats.org/officeDocument/2006/relationships" r:embed="rId1"/>
          <a:stretch>
            <a:fillRect/>
          </a:stretch>
        </xdr:blipFill>
        <xdr:spPr>
          <a:xfrm>
            <a:off x="671513" y="1285875"/>
            <a:ext cx="7620056" cy="4562508"/>
          </a:xfrm>
          <a:prstGeom prst="rect">
            <a:avLst/>
          </a:prstGeom>
        </xdr:spPr>
      </xdr:pic>
      <xdr:sp macro="" textlink="">
        <xdr:nvSpPr>
          <xdr:cNvPr id="3" name="Rectangle 2">
            <a:extLst>
              <a:ext uri="{FF2B5EF4-FFF2-40B4-BE49-F238E27FC236}">
                <a16:creationId xmlns:a16="http://schemas.microsoft.com/office/drawing/2014/main" id="{1016EFEF-5451-F192-E9D2-AFA4437295FE}"/>
              </a:ext>
            </a:extLst>
          </xdr:cNvPr>
          <xdr:cNvSpPr/>
        </xdr:nvSpPr>
        <xdr:spPr>
          <a:xfrm>
            <a:off x="1671639" y="3654931"/>
            <a:ext cx="2752445" cy="1231393"/>
          </a:xfrm>
          <a:prstGeom prst="rect">
            <a:avLst/>
          </a:prstGeom>
          <a:noFill/>
          <a:ln w="25400">
            <a:solidFill>
              <a:schemeClr val="accent2"/>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4" name="Rectangle 3">
            <a:extLst>
              <a:ext uri="{FF2B5EF4-FFF2-40B4-BE49-F238E27FC236}">
                <a16:creationId xmlns:a16="http://schemas.microsoft.com/office/drawing/2014/main" id="{574F3F5E-388E-4DDA-A927-871776CDDA15}"/>
              </a:ext>
            </a:extLst>
          </xdr:cNvPr>
          <xdr:cNvSpPr/>
        </xdr:nvSpPr>
        <xdr:spPr>
          <a:xfrm>
            <a:off x="4476039" y="1942234"/>
            <a:ext cx="1921773" cy="2933699"/>
          </a:xfrm>
          <a:prstGeom prst="rect">
            <a:avLst/>
          </a:prstGeom>
          <a:noFill/>
          <a:ln w="25400">
            <a:solidFill>
              <a:srgbClr val="0070C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1A0084F1-3CD3-4896-8D85-3A525D7C0C0C}"/>
              </a:ext>
            </a:extLst>
          </xdr:cNvPr>
          <xdr:cNvSpPr/>
        </xdr:nvSpPr>
        <xdr:spPr>
          <a:xfrm>
            <a:off x="6455863" y="3821474"/>
            <a:ext cx="1368925" cy="1066800"/>
          </a:xfrm>
          <a:prstGeom prst="rect">
            <a:avLst/>
          </a:prstGeom>
          <a:noFill/>
          <a:ln w="254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E521A404-C999-40DE-82A3-D7C3CD7D350E}"/>
              </a:ext>
            </a:extLst>
          </xdr:cNvPr>
          <xdr:cNvSpPr/>
        </xdr:nvSpPr>
        <xdr:spPr>
          <a:xfrm>
            <a:off x="2197434" y="3355823"/>
            <a:ext cx="1628775" cy="3193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1 - Large left tail</a:t>
            </a:r>
          </a:p>
        </xdr:txBody>
      </xdr:sp>
      <xdr:sp macro="" textlink="">
        <xdr:nvSpPr>
          <xdr:cNvPr id="7" name="Rectangle 6">
            <a:extLst>
              <a:ext uri="{FF2B5EF4-FFF2-40B4-BE49-F238E27FC236}">
                <a16:creationId xmlns:a16="http://schemas.microsoft.com/office/drawing/2014/main" id="{91A1B787-ECDB-4E1C-B9A9-CFC7B9411A26}"/>
              </a:ext>
            </a:extLst>
          </xdr:cNvPr>
          <xdr:cNvSpPr/>
        </xdr:nvSpPr>
        <xdr:spPr>
          <a:xfrm>
            <a:off x="4680571" y="1914301"/>
            <a:ext cx="1628775" cy="3193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2 - Sharp peak</a:t>
            </a:r>
          </a:p>
        </xdr:txBody>
      </xdr:sp>
      <xdr:sp macro="" textlink="">
        <xdr:nvSpPr>
          <xdr:cNvPr id="8" name="Rectangle 7">
            <a:extLst>
              <a:ext uri="{FF2B5EF4-FFF2-40B4-BE49-F238E27FC236}">
                <a16:creationId xmlns:a16="http://schemas.microsoft.com/office/drawing/2014/main" id="{7CB4370B-EF46-40CD-A2CD-C53E57C85FA9}"/>
              </a:ext>
            </a:extLst>
          </xdr:cNvPr>
          <xdr:cNvSpPr/>
        </xdr:nvSpPr>
        <xdr:spPr>
          <a:xfrm>
            <a:off x="6365972" y="3532476"/>
            <a:ext cx="1628775" cy="3193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3 - Far right</a:t>
            </a:r>
            <a:r>
              <a:rPr lang="en-MY" sz="1100" b="1" baseline="0">
                <a:solidFill>
                  <a:srgbClr val="FF0000"/>
                </a:solidFill>
              </a:rPr>
              <a:t> tail</a:t>
            </a:r>
            <a:endParaRPr lang="en-MY" sz="1100" b="1">
              <a:solidFill>
                <a:srgbClr val="FF0000"/>
              </a:solidFill>
            </a:endParaRPr>
          </a:p>
        </xdr:txBody>
      </xdr:sp>
    </xdr:grpSp>
    <xdr:clientData/>
  </xdr:twoCellAnchor>
  <xdr:twoCellAnchor editAs="oneCell">
    <xdr:from>
      <xdr:col>10</xdr:col>
      <xdr:colOff>510887</xdr:colOff>
      <xdr:row>7</xdr:row>
      <xdr:rowOff>34635</xdr:rowOff>
    </xdr:from>
    <xdr:to>
      <xdr:col>26</xdr:col>
      <xdr:colOff>239286</xdr:colOff>
      <xdr:row>32</xdr:row>
      <xdr:rowOff>77932</xdr:rowOff>
    </xdr:to>
    <xdr:pic>
      <xdr:nvPicPr>
        <xdr:cNvPr id="12" name="Picture 11">
          <a:extLst>
            <a:ext uri="{FF2B5EF4-FFF2-40B4-BE49-F238E27FC236}">
              <a16:creationId xmlns:a16="http://schemas.microsoft.com/office/drawing/2014/main" id="{15447388-E2D5-3434-0E13-717049CC89EE}"/>
            </a:ext>
          </a:extLst>
        </xdr:cNvPr>
        <xdr:cNvPicPr>
          <a:picLocks noChangeAspect="1"/>
        </xdr:cNvPicPr>
      </xdr:nvPicPr>
      <xdr:blipFill>
        <a:blip xmlns:r="http://schemas.openxmlformats.org/officeDocument/2006/relationships" r:embed="rId2"/>
        <a:stretch>
          <a:fillRect/>
        </a:stretch>
      </xdr:blipFill>
      <xdr:spPr>
        <a:xfrm>
          <a:off x="8511887" y="1307522"/>
          <a:ext cx="10119308" cy="4589319"/>
        </a:xfrm>
        <a:prstGeom prst="rect">
          <a:avLst/>
        </a:prstGeom>
      </xdr:spPr>
    </xdr:pic>
    <xdr:clientData/>
  </xdr:twoCellAnchor>
  <xdr:twoCellAnchor editAs="oneCell">
    <xdr:from>
      <xdr:col>0</xdr:col>
      <xdr:colOff>644337</xdr:colOff>
      <xdr:row>76</xdr:row>
      <xdr:rowOff>0</xdr:rowOff>
    </xdr:from>
    <xdr:to>
      <xdr:col>6</xdr:col>
      <xdr:colOff>1792940</xdr:colOff>
      <xdr:row>104</xdr:row>
      <xdr:rowOff>31950</xdr:rowOff>
    </xdr:to>
    <xdr:pic>
      <xdr:nvPicPr>
        <xdr:cNvPr id="13" name="Picture 12">
          <a:extLst>
            <a:ext uri="{FF2B5EF4-FFF2-40B4-BE49-F238E27FC236}">
              <a16:creationId xmlns:a16="http://schemas.microsoft.com/office/drawing/2014/main" id="{A70B3C53-38DD-94E2-BDF8-C8CC62548F11}"/>
            </a:ext>
          </a:extLst>
        </xdr:cNvPr>
        <xdr:cNvPicPr>
          <a:picLocks noChangeAspect="1"/>
        </xdr:cNvPicPr>
      </xdr:nvPicPr>
      <xdr:blipFill>
        <a:blip xmlns:r="http://schemas.openxmlformats.org/officeDocument/2006/relationships" r:embed="rId3"/>
        <a:stretch>
          <a:fillRect/>
        </a:stretch>
      </xdr:blipFill>
      <xdr:spPr>
        <a:xfrm>
          <a:off x="644337" y="13754100"/>
          <a:ext cx="8235203" cy="5099250"/>
        </a:xfrm>
        <a:prstGeom prst="rect">
          <a:avLst/>
        </a:prstGeom>
      </xdr:spPr>
    </xdr:pic>
    <xdr:clientData/>
  </xdr:twoCellAnchor>
  <xdr:twoCellAnchor>
    <xdr:from>
      <xdr:col>2</xdr:col>
      <xdr:colOff>154080</xdr:colOff>
      <xdr:row>91</xdr:row>
      <xdr:rowOff>56774</xdr:rowOff>
    </xdr:from>
    <xdr:to>
      <xdr:col>4</xdr:col>
      <xdr:colOff>598714</xdr:colOff>
      <xdr:row>98</xdr:row>
      <xdr:rowOff>95250</xdr:rowOff>
    </xdr:to>
    <xdr:sp macro="" textlink="">
      <xdr:nvSpPr>
        <xdr:cNvPr id="14" name="Rectangle 13">
          <a:extLst>
            <a:ext uri="{FF2B5EF4-FFF2-40B4-BE49-F238E27FC236}">
              <a16:creationId xmlns:a16="http://schemas.microsoft.com/office/drawing/2014/main" id="{C3DDDA20-9198-498C-B026-D125D3C91A1C}"/>
            </a:ext>
          </a:extLst>
        </xdr:cNvPr>
        <xdr:cNvSpPr/>
      </xdr:nvSpPr>
      <xdr:spPr>
        <a:xfrm>
          <a:off x="1773330" y="16773150"/>
          <a:ext cx="2805474" cy="1324350"/>
        </a:xfrm>
        <a:prstGeom prst="rect">
          <a:avLst/>
        </a:prstGeom>
        <a:noFill/>
        <a:ln w="25400">
          <a:solidFill>
            <a:schemeClr val="accent2"/>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xdr:col>
      <xdr:colOff>464727</xdr:colOff>
      <xdr:row>89</xdr:row>
      <xdr:rowOff>132271</xdr:rowOff>
    </xdr:from>
    <xdr:to>
      <xdr:col>4</xdr:col>
      <xdr:colOff>289182</xdr:colOff>
      <xdr:row>91</xdr:row>
      <xdr:rowOff>105387</xdr:rowOff>
    </xdr:to>
    <xdr:sp macro="" textlink="">
      <xdr:nvSpPr>
        <xdr:cNvPr id="15" name="Rectangle 14">
          <a:extLst>
            <a:ext uri="{FF2B5EF4-FFF2-40B4-BE49-F238E27FC236}">
              <a16:creationId xmlns:a16="http://schemas.microsoft.com/office/drawing/2014/main" id="{74307AD9-8B39-4C16-8077-1FA31FCB24AE}"/>
            </a:ext>
          </a:extLst>
        </xdr:cNvPr>
        <xdr:cNvSpPr/>
      </xdr:nvSpPr>
      <xdr:spPr>
        <a:xfrm>
          <a:off x="2083977" y="16481254"/>
          <a:ext cx="2185295" cy="3405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1 - Large left tail</a:t>
          </a:r>
        </a:p>
      </xdr:txBody>
    </xdr:sp>
    <xdr:clientData/>
  </xdr:twoCellAnchor>
  <xdr:twoCellAnchor>
    <xdr:from>
      <xdr:col>4</xdr:col>
      <xdr:colOff>653142</xdr:colOff>
      <xdr:row>80</xdr:row>
      <xdr:rowOff>115661</xdr:rowOff>
    </xdr:from>
    <xdr:to>
      <xdr:col>6</xdr:col>
      <xdr:colOff>265340</xdr:colOff>
      <xdr:row>98</xdr:row>
      <xdr:rowOff>95249</xdr:rowOff>
    </xdr:to>
    <xdr:sp macro="" textlink="">
      <xdr:nvSpPr>
        <xdr:cNvPr id="16" name="Rectangle 15">
          <a:extLst>
            <a:ext uri="{FF2B5EF4-FFF2-40B4-BE49-F238E27FC236}">
              <a16:creationId xmlns:a16="http://schemas.microsoft.com/office/drawing/2014/main" id="{CA2D676B-A26C-43B2-9134-6C3E037FF6FF}"/>
            </a:ext>
          </a:extLst>
        </xdr:cNvPr>
        <xdr:cNvSpPr/>
      </xdr:nvSpPr>
      <xdr:spPr>
        <a:xfrm>
          <a:off x="4633232" y="14811375"/>
          <a:ext cx="2721429" cy="3286124"/>
        </a:xfrm>
        <a:prstGeom prst="rect">
          <a:avLst/>
        </a:prstGeom>
        <a:noFill/>
        <a:ln w="25400">
          <a:solidFill>
            <a:srgbClr val="0070C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451221</xdr:colOff>
      <xdr:row>80</xdr:row>
      <xdr:rowOff>111751</xdr:rowOff>
    </xdr:from>
    <xdr:to>
      <xdr:col>6</xdr:col>
      <xdr:colOff>484240</xdr:colOff>
      <xdr:row>82</xdr:row>
      <xdr:rowOff>85333</xdr:rowOff>
    </xdr:to>
    <xdr:sp macro="" textlink="">
      <xdr:nvSpPr>
        <xdr:cNvPr id="17" name="Rectangle 16">
          <a:extLst>
            <a:ext uri="{FF2B5EF4-FFF2-40B4-BE49-F238E27FC236}">
              <a16:creationId xmlns:a16="http://schemas.microsoft.com/office/drawing/2014/main" id="{82C31893-33EA-4212-80C3-7DC89E51AA0F}"/>
            </a:ext>
          </a:extLst>
        </xdr:cNvPr>
        <xdr:cNvSpPr/>
      </xdr:nvSpPr>
      <xdr:spPr>
        <a:xfrm>
          <a:off x="4431311" y="14807465"/>
          <a:ext cx="3142250" cy="34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2 - Sharp peak</a:t>
          </a:r>
        </a:p>
      </xdr:txBody>
    </xdr:sp>
    <xdr:clientData/>
  </xdr:twoCellAnchor>
  <xdr:twoCellAnchor>
    <xdr:from>
      <xdr:col>6</xdr:col>
      <xdr:colOff>315957</xdr:colOff>
      <xdr:row>95</xdr:row>
      <xdr:rowOff>149678</xdr:rowOff>
    </xdr:from>
    <xdr:to>
      <xdr:col>6</xdr:col>
      <xdr:colOff>1347108</xdr:colOff>
      <xdr:row>98</xdr:row>
      <xdr:rowOff>95250</xdr:rowOff>
    </xdr:to>
    <xdr:sp macro="" textlink="">
      <xdr:nvSpPr>
        <xdr:cNvPr id="18" name="Rectangle 17">
          <a:extLst>
            <a:ext uri="{FF2B5EF4-FFF2-40B4-BE49-F238E27FC236}">
              <a16:creationId xmlns:a16="http://schemas.microsoft.com/office/drawing/2014/main" id="{3A1060E5-D991-468D-8FFD-7A7806382E8E}"/>
            </a:ext>
          </a:extLst>
        </xdr:cNvPr>
        <xdr:cNvSpPr/>
      </xdr:nvSpPr>
      <xdr:spPr>
        <a:xfrm>
          <a:off x="7405278" y="17600839"/>
          <a:ext cx="1031151" cy="496661"/>
        </a:xfrm>
        <a:prstGeom prst="rect">
          <a:avLst/>
        </a:prstGeom>
        <a:noFill/>
        <a:ln w="2540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6</xdr:col>
      <xdr:colOff>189858</xdr:colOff>
      <xdr:row>94</xdr:row>
      <xdr:rowOff>33353</xdr:rowOff>
    </xdr:from>
    <xdr:to>
      <xdr:col>6</xdr:col>
      <xdr:colOff>1850571</xdr:colOff>
      <xdr:row>95</xdr:row>
      <xdr:rowOff>138113</xdr:rowOff>
    </xdr:to>
    <xdr:sp macro="" textlink="">
      <xdr:nvSpPr>
        <xdr:cNvPr id="19" name="Rectangle 18">
          <a:extLst>
            <a:ext uri="{FF2B5EF4-FFF2-40B4-BE49-F238E27FC236}">
              <a16:creationId xmlns:a16="http://schemas.microsoft.com/office/drawing/2014/main" id="{ED899E68-B365-414C-95F0-B916DC422328}"/>
            </a:ext>
          </a:extLst>
        </xdr:cNvPr>
        <xdr:cNvSpPr/>
      </xdr:nvSpPr>
      <xdr:spPr>
        <a:xfrm>
          <a:off x="7279179" y="17300817"/>
          <a:ext cx="1660713" cy="2884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a:solidFill>
                <a:srgbClr val="FF0000"/>
              </a:solidFill>
            </a:rPr>
            <a:t>Feature 3 - Far right</a:t>
          </a:r>
          <a:r>
            <a:rPr lang="en-MY" sz="1100" b="1" baseline="0">
              <a:solidFill>
                <a:srgbClr val="FF0000"/>
              </a:solidFill>
            </a:rPr>
            <a:t> tail</a:t>
          </a:r>
          <a:endParaRPr lang="en-MY" sz="1100" b="1">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22</xdr:col>
      <xdr:colOff>114300</xdr:colOff>
      <xdr:row>118</xdr:row>
      <xdr:rowOff>57150</xdr:rowOff>
    </xdr:to>
    <xdr:pic>
      <xdr:nvPicPr>
        <xdr:cNvPr id="2" name="Picture 1">
          <a:extLst>
            <a:ext uri="{FF2B5EF4-FFF2-40B4-BE49-F238E27FC236}">
              <a16:creationId xmlns:a16="http://schemas.microsoft.com/office/drawing/2014/main" id="{56C0B5D8-D6A0-E1DE-57CB-3C6FD16739C6}"/>
            </a:ext>
          </a:extLst>
        </xdr:cNvPr>
        <xdr:cNvPicPr>
          <a:picLocks noChangeAspect="1"/>
        </xdr:cNvPicPr>
      </xdr:nvPicPr>
      <xdr:blipFill>
        <a:blip xmlns:r="http://schemas.openxmlformats.org/officeDocument/2006/relationships" r:embed="rId1"/>
        <a:stretch>
          <a:fillRect/>
        </a:stretch>
      </xdr:blipFill>
      <xdr:spPr>
        <a:xfrm>
          <a:off x="647700" y="361950"/>
          <a:ext cx="13716000" cy="21050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47A7EB6-5382-4269-A87D-41B9131BE689}" name="Table28" displayName="Table28" ref="B5:C8" totalsRowShown="0">
  <autoFilter ref="B5:C8" xr:uid="{747A7EB6-5382-4269-A87D-41B9131BE689}"/>
  <tableColumns count="2">
    <tableColumn id="1" xr3:uid="{CB456131-5ED5-4C9E-96EF-D4F90BD5D69F}" name="Problem Statement"/>
    <tableColumn id="2" xr3:uid="{89EEDAE6-9A26-4CFE-9980-1A0B3920C984}" name="Description" dataDxfId="11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1DF40E3-7037-494E-97A7-4BE180208148}" name="Table31" displayName="Table31" ref="E5:F8" totalsRowShown="0" dataDxfId="118">
  <autoFilter ref="E5:F8" xr:uid="{21DF40E3-7037-494E-97A7-4BE180208148}"/>
  <tableColumns count="2">
    <tableColumn id="1" xr3:uid="{5DDD83D3-0A60-4C53-A931-0BD8D8C7C028}" name="Objectives" dataDxfId="117"/>
    <tableColumn id="2" xr3:uid="{5F7CFB41-62F1-440D-B85C-0364C89C9BF8}" name="Description" dataDxfId="11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AD900F-E901-43EA-AA22-BD1D2A565A80}" name="Table5" displayName="Table5" ref="B4:E15" headerRowCount="0" totalsRowShown="0" dataDxfId="115">
  <tableColumns count="4">
    <tableColumn id="1" xr3:uid="{6FDC30F9-26EF-46B4-A98D-7B311D4E319C}" name="Column1" dataDxfId="114"/>
    <tableColumn id="2" xr3:uid="{B07B1BCC-7FE0-4404-9075-4309B3C7FBFF}" name="Column2" headerRowDxfId="113" dataDxfId="112"/>
    <tableColumn id="3" xr3:uid="{DD401013-19AD-488C-B0F9-B28CB04D0E6D}" name="Column3" headerRowDxfId="111" dataDxfId="110"/>
    <tableColumn id="4" xr3:uid="{D2B7D6F5-D666-44DD-BC96-5E6CA8D3769D}" name="Column4" dataDxfId="10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BD6B7AB-1A52-40D6-8712-068665FF346E}" name="Table533" displayName="Table533" ref="B30:E41" headerRowCount="0" totalsRowShown="0" dataDxfId="108">
  <tableColumns count="4">
    <tableColumn id="1" xr3:uid="{2216939C-83B4-4F49-94F9-2CAFFA0E49C2}" name="Column1" dataDxfId="107"/>
    <tableColumn id="2" xr3:uid="{205301E5-A918-4F31-B3BE-16E34B6E246A}" name="Column2" headerRowDxfId="106" dataDxfId="105"/>
    <tableColumn id="3" xr3:uid="{8787E151-0B45-4494-AEC6-33638AE7945B}" name="Column3" headerRowDxfId="104" dataDxfId="103"/>
    <tableColumn id="4" xr3:uid="{FCFC16B4-5B66-4E0C-86F6-46A7939C9F6D}" name="Column4" dataDxfId="10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BD2CC-3000-4FAA-8A59-72541A1E8FC6}" name="Table5332" displayName="Table5332" ref="B61:E72" headerRowCount="0" totalsRowShown="0" dataDxfId="35">
  <tableColumns count="4">
    <tableColumn id="1" xr3:uid="{6D16685B-113E-481D-902C-57ADA326D2B5}" name="Column1" dataDxfId="34"/>
    <tableColumn id="2" xr3:uid="{CFB4A63D-89AA-43F4-8EF7-A5E5B28ECCC7}" name="Column2" headerRowDxfId="33" dataDxfId="32"/>
    <tableColumn id="3" xr3:uid="{C9C45505-B8FE-4B65-9B06-B7AFBA3A7D03}" name="Column3" headerRowDxfId="31" dataDxfId="30"/>
    <tableColumn id="4" xr3:uid="{87313CEF-FF85-46AF-A586-0FAC7B308E61}" name="Column4" dataDxfId="2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AAF0A1-9ECF-4688-A012-6B0F686F123E}" name="Table53329" displayName="Table53329" ref="B84:E95" headerRowCount="0" totalsRowShown="0" dataDxfId="16">
  <tableColumns count="4">
    <tableColumn id="1" xr3:uid="{20AC2459-2890-4F32-BEE3-76470C910656}" name="Column1" dataDxfId="15"/>
    <tableColumn id="2" xr3:uid="{34403EEB-77E0-4156-BC6C-858FA4C7AB05}" name="Column2" headerRowDxfId="14" dataDxfId="13"/>
    <tableColumn id="3" xr3:uid="{F22BCD00-EB8A-41E4-858B-40F3A270196C}" name="Column3" headerRowDxfId="12" dataDxfId="11"/>
    <tableColumn id="4" xr3:uid="{677D0195-CC13-4291-A8F7-480172883211}" name="Column4" dataDxfId="1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6C9375-EA7C-4363-8261-FD29D2634AB9}" name="Table9" displayName="Table9" ref="B19:D29" totalsRowShown="0" dataDxfId="101">
  <autoFilter ref="B19:D29" xr:uid="{016C9375-EA7C-4363-8261-FD29D2634AB9}"/>
  <tableColumns count="3">
    <tableColumn id="1" xr3:uid="{4BA648CF-CBE1-457B-9E0A-297CEC49CFCA}" name="Episodes" dataDxfId="100"/>
    <tableColumn id="2" xr3:uid="{2E1DC5D8-F551-4D62-9462-3245592D69BB}" name="PX4 RMSE " dataDxfId="99"/>
    <tableColumn id="3" xr3:uid="{E13CB96D-9C6C-4F1F-BAB0-8654F30DF1E4}" name="BC Policy RMSE" dataDxfId="9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6B5CE1D-8B93-410B-A2A2-761971AC92C7}" name="Table934" displayName="Table934" ref="B53:D63" totalsRowShown="0" dataDxfId="97">
  <autoFilter ref="B53:D63" xr:uid="{B6B5CE1D-8B93-410B-A2A2-761971AC92C7}"/>
  <tableColumns count="3">
    <tableColumn id="1" xr3:uid="{60412570-E4C8-4267-8311-9932BFE1D413}" name="Episodes" dataDxfId="96"/>
    <tableColumn id="2" xr3:uid="{C394E1A6-71CD-4E8F-BA73-86FD729F433C}" name="PX4 RMSE " dataDxfId="95"/>
    <tableColumn id="3" xr3:uid="{43F984E4-03C0-4854-A2C7-A6BEBEE697E1}" name="BC Policy RMSE" dataDxfId="9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E0340D-2475-4534-A3D7-C8525A0B8EAF}" name="Table9343" displayName="Table9343" ref="B97:D107" totalsRowShown="0" dataDxfId="28">
  <autoFilter ref="B97:D107" xr:uid="{47E0340D-2475-4534-A3D7-C8525A0B8EAF}"/>
  <tableColumns count="3">
    <tableColumn id="1" xr3:uid="{2D5014CB-5FAE-4DBE-85C8-F85F25B01CEF}" name="Episodes" dataDxfId="27"/>
    <tableColumn id="2" xr3:uid="{597432F3-F03E-4E9A-9BF2-46337EFDFA2C}" name="PX4 RMSE " dataDxfId="26"/>
    <tableColumn id="3" xr3:uid="{D0630DD8-586C-4D50-869F-4C3E83644484}" name="BC Policy RMSE" dataDxfId="25"/>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68A238-0A62-4919-A9B6-BE966C738603}" name="Table3" displayName="Table3" ref="B69:C75" totalsRowShown="0">
  <autoFilter ref="B69:C75" xr:uid="{6168A238-0A62-4919-A9B6-BE966C738603}"/>
  <tableColumns count="2">
    <tableColumn id="1" xr3:uid="{D56B364D-58D8-4195-BED5-AAA33CB45748}" name="Efficiency Calculation"/>
    <tableColumn id="2" xr3:uid="{37DAEB86-229A-4AC8-8C94-5F6152D4CB21}" name="Value" dataDxfId="22"/>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83C80F-B08A-40F3-BC0A-37BDECCF312A}" name="Table4" displayName="Table4" ref="B113:C119" totalsRowShown="0" headerRowDxfId="24">
  <autoFilter ref="B113:C119" xr:uid="{5D83C80F-B08A-40F3-BC0A-37BDECCF312A}"/>
  <tableColumns count="2">
    <tableColumn id="1" xr3:uid="{67869C97-5425-4D05-A743-9B68453FB47C}" name="Efficiency Calculation"/>
    <tableColumn id="2" xr3:uid="{15C2A461-3AFB-4F0A-A614-1D8F6486CD1C}" name="Value" dataDxfId="23"/>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BFCBD4-E936-4248-A94B-45013A326AD3}" name="Table37" displayName="Table37" ref="B35:C41" totalsRowShown="0">
  <autoFilter ref="B35:C41" xr:uid="{F5BFCBD4-E936-4248-A94B-45013A326AD3}"/>
  <tableColumns count="2">
    <tableColumn id="1" xr3:uid="{4DBFA1AF-B552-414B-BA01-08372B65EFC4}" name="Efficiency Calculation"/>
    <tableColumn id="2" xr3:uid="{4B618231-AB15-460E-9A2A-6ADC213BC527}" name="Value" dataDxfId="21"/>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6CC2B3D-C256-488F-9EAF-17D0959930C4}" name="Table934316" displayName="Table934316" ref="B126:D136" totalsRowShown="0" dataDxfId="9">
  <autoFilter ref="B126:D136" xr:uid="{B6CC2B3D-C256-488F-9EAF-17D0959930C4}"/>
  <tableColumns count="3">
    <tableColumn id="1" xr3:uid="{3407EDCE-045B-4CAF-B89D-CFC398516732}" name="Episodes" dataDxfId="8"/>
    <tableColumn id="2" xr3:uid="{4A76C804-0E83-4720-A8AC-3F851C42EFD5}" name="PX4 RMSE " dataDxfId="7"/>
    <tableColumn id="3" xr3:uid="{4CE2D207-478E-44D2-A54B-EC2E99F5CA11}" name="BC Policy RMSE" dataDxfId="6"/>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7E169C7-E3B9-443C-BD9B-2FE1C47B38DC}" name="Table417" displayName="Table417" ref="B142:C148" totalsRowShown="0" headerRowDxfId="5">
  <autoFilter ref="B142:C148" xr:uid="{D7E169C7-E3B9-443C-BD9B-2FE1C47B38DC}"/>
  <tableColumns count="2">
    <tableColumn id="1" xr3:uid="{A602F99B-3F38-4E1B-8B4E-01E70C75C76B}" name="Efficiency Calculation"/>
    <tableColumn id="2" xr3:uid="{245D6212-2E6F-48D8-828B-31BAA6C5853B}" name="Value" dataDxfId="4"/>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B1EAAB-8082-4D0D-A72F-879A55BA22CC}" name="Table911" displayName="Table911" ref="B22:D32" totalsRowShown="0" dataDxfId="93">
  <autoFilter ref="B22:D32" xr:uid="{64B1EAAB-8082-4D0D-A72F-879A55BA22CC}"/>
  <tableColumns count="3">
    <tableColumn id="1" xr3:uid="{4534760B-2650-4EFE-9ECF-A153474C61A4}" name="Episodes" dataDxfId="92"/>
    <tableColumn id="2" xr3:uid="{A3ABABF0-8228-40AE-8960-0038E1E0A3F9}" name="PX4 max dist " dataDxfId="91"/>
    <tableColumn id="3" xr3:uid="{03D316D8-EEB2-4D74-BB30-8654F1EE5F3D}" name="BC Policy max dist" dataDxfId="90"/>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C9DA5C3-6EB5-4E6C-8FC6-D5710B123676}" name="Table91135" displayName="Table91135" ref="B49:D59" totalsRowShown="0" dataDxfId="89">
  <autoFilter ref="B49:D59" xr:uid="{9C9DA5C3-6EB5-4E6C-8FC6-D5710B123676}"/>
  <tableColumns count="3">
    <tableColumn id="1" xr3:uid="{E3BEC3C6-8AD5-4244-B7B8-5B5C4A4221EA}" name="Episodes" dataDxfId="88"/>
    <tableColumn id="2" xr3:uid="{BE57D60D-C274-47FC-8358-F2D43D6C1C53}" name="PX4 max dist " dataDxfId="87"/>
    <tableColumn id="3" xr3:uid="{4F56DC05-FF0F-4021-B3DE-51ACD9192E15}" name="BC Policy max dist" dataDxfId="86"/>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828E39-81B7-4AE6-B422-896393F6F326}" name="Table911358" displayName="Table911358" ref="B75:D85" totalsRowShown="0" dataDxfId="20">
  <autoFilter ref="B75:D85" xr:uid="{73828E39-81B7-4AE6-B422-896393F6F326}"/>
  <tableColumns count="3">
    <tableColumn id="1" xr3:uid="{A130ECCE-C9FF-403A-93DA-C72BBF0977AD}" name="Episodes" dataDxfId="19"/>
    <tableColumn id="2" xr3:uid="{8FAED15D-B8A4-4D90-9D04-AF9847C96307}" name="PX4 max dist " dataDxfId="18"/>
    <tableColumn id="3" xr3:uid="{7010D31C-3B0E-48C6-83C9-14C3CEE28E03}" name="BC Policy max dist" dataDxfId="17"/>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DD86331-D90A-4832-8BB2-DA2F365CA12C}" name="Table91135818" displayName="Table91135818" ref="B101:D111" totalsRowShown="0" dataDxfId="3">
  <autoFilter ref="B101:D111" xr:uid="{1DD86331-D90A-4832-8BB2-DA2F365CA12C}"/>
  <tableColumns count="3">
    <tableColumn id="1" xr3:uid="{FBB58AF8-4DEB-4690-B507-0B4FCEA0C87C}" name="Episodes" dataDxfId="2"/>
    <tableColumn id="2" xr3:uid="{97B02235-AC2C-4CBA-8336-CD2C9E20A1A5}" name="PX4 max dist " dataDxfId="1"/>
    <tableColumn id="3" xr3:uid="{BDEA8978-BDEB-443F-A760-0C292DE11243}" name="BC Policy max dist" dataDxfId="0"/>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66AAF89-BE74-4732-87B2-B28D3682AB6B}" name="Table26" displayName="Table26" ref="B37:J40" headerRowCount="0" totalsRowShown="0" headerRowDxfId="85" dataDxfId="84">
  <tableColumns count="9">
    <tableColumn id="1" xr3:uid="{38D65AD6-1A18-40A7-A9EE-AFA0D5325098}" name="Region" dataDxfId="83"/>
    <tableColumn id="2" xr3:uid="{195E4993-8D14-47A8-B401-59BE2CDA6012}" name="Vd range" dataDxfId="82"/>
    <tableColumn id="3" xr3:uid="{E04455F4-90CE-446A-B78D-A0E0C2446C4A}" name="Real Count" dataDxfId="81"/>
    <tableColumn id="4" xr3:uid="{97BD72B5-0FC8-42B6-951F-BAD667D475DB}" name="Source Episodes" dataDxfId="80"/>
    <tableColumn id="5" xr3:uid="{E0CC5E58-4B2A-4D02-A9B9-92E102717641}" name="Descriptions" headerRowDxfId="79" dataDxfId="78"/>
    <tableColumn id="6" xr3:uid="{7ED368EB-97DC-4270-904E-6E112065AD03}" name="Column6" headerRowDxfId="77" dataDxfId="76"/>
    <tableColumn id="7" xr3:uid="{95A50E0E-9B5B-4310-9E1E-D8DC3E83A4B7}" name="Column7" headerRowDxfId="75" dataDxfId="74"/>
    <tableColumn id="8" xr3:uid="{733D06DC-4319-42A4-A226-B0FAF8087125}" name="Column8" headerRowDxfId="73" dataDxfId="72"/>
    <tableColumn id="9" xr3:uid="{DAD919E1-9016-4B39-9979-DCA83C7818EF}" name="Column9" headerRowDxfId="71" dataDxfId="70"/>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0A3282-EE46-4FC1-900D-7383CD195685}" name="Table528" displayName="Table528" ref="B43:G54" headerRowCount="0" totalsRowShown="0" dataDxfId="69">
  <tableColumns count="6">
    <tableColumn id="1" xr3:uid="{D6B26648-C9A2-44A0-84E3-1045034B09D4}" name="Column1" dataDxfId="68"/>
    <tableColumn id="2" xr3:uid="{D7995E93-2CCF-4B3C-8748-391C1486750B}" name="Column2" headerRowDxfId="67" dataDxfId="66"/>
    <tableColumn id="3" xr3:uid="{53A31904-2576-4E94-A00A-CCF0278CBE79}" name="Column3" headerRowDxfId="65" dataDxfId="64"/>
    <tableColumn id="4" xr3:uid="{2E7D82A1-BCD1-4EB5-858B-465CF5CD5100}" name="Column4" dataDxfId="63"/>
    <tableColumn id="5" xr3:uid="{79D070CC-E012-427B-88A2-F5C41676FB4F}" name="Column5" dataDxfId="62"/>
    <tableColumn id="6" xr3:uid="{D1775704-401F-4641-A7DE-CCF9C8A5C885}" name="Column6" dataDxfId="61"/>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B3FA45-8C5C-464D-AD2A-73A295D84E28}" name="Table2636" displayName="Table2636" ref="B107:J110" headerRowCount="0" totalsRowShown="0" headerRowDxfId="60" dataDxfId="59">
  <tableColumns count="9">
    <tableColumn id="1" xr3:uid="{BA7ED482-F0CA-4FB3-A1B2-7FD71646EE4C}" name="Region" dataDxfId="58"/>
    <tableColumn id="2" xr3:uid="{B9867E80-91B8-4083-9468-77EFFA347CB0}" name="Vd range" dataDxfId="57"/>
    <tableColumn id="3" xr3:uid="{3181053E-E20D-420D-AD23-62395E2C91FC}" name="Real Count" dataDxfId="56"/>
    <tableColumn id="4" xr3:uid="{192B793A-883C-42A1-85F5-246BF84E394D}" name="Source Episodes" dataDxfId="55"/>
    <tableColumn id="5" xr3:uid="{BEBBF08A-03D4-4F80-9D68-CD762AF8AE41}" name="Descriptions" headerRowDxfId="54" dataDxfId="53"/>
    <tableColumn id="6" xr3:uid="{793F96C2-2D9B-4FEC-9020-70B92060A19E}" name="Column6" headerRowDxfId="52" dataDxfId="51"/>
    <tableColumn id="7" xr3:uid="{684F9AC6-9644-4B04-BEF2-CE5BCE411714}" name="Column7" headerRowDxfId="50" dataDxfId="49"/>
    <tableColumn id="8" xr3:uid="{AD26AEAC-510D-4C62-B058-FF11B84880E4}" name="Column8" headerRowDxfId="48" dataDxfId="47"/>
    <tableColumn id="9" xr3:uid="{38FC93BC-FF49-44BD-9DB9-62831C2733C8}" name="Column9" headerRowDxfId="46" dataDxfId="45"/>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D1A744D-785C-4771-9DCA-D960AA908B38}" name="Table52837" displayName="Table52837" ref="B113:G124" headerRowCount="0" totalsRowShown="0" dataDxfId="44">
  <tableColumns count="6">
    <tableColumn id="1" xr3:uid="{61C85B6B-1B7D-4C73-8ADB-820A1AAA87B8}" name="Column1" dataDxfId="43"/>
    <tableColumn id="2" xr3:uid="{DAED827F-3DC7-4C85-BFB1-9D6C5D89D4AA}" name="Column2" headerRowDxfId="42" dataDxfId="41"/>
    <tableColumn id="3" xr3:uid="{7C440F6B-E7B3-4D83-BB87-D3490F92B129}" name="Column3" headerRowDxfId="40" dataDxfId="39"/>
    <tableColumn id="4" xr3:uid="{2809BBD7-8C94-4907-86C4-D514964F3ED8}" name="Column4" dataDxfId="38"/>
    <tableColumn id="5" xr3:uid="{5ED29324-512A-425A-B711-148760B92682}" name="Column5" dataDxfId="37"/>
    <tableColumn id="6" xr3:uid="{3B105EE4-C8C5-4BB6-9DAC-35A9B01E74E1}" name="Column6" dataDxfId="3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drawing" Target="../drawings/drawing4.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 Id="rId9"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5.xml"/><Relationship Id="rId5" Type="http://schemas.openxmlformats.org/officeDocument/2006/relationships/table" Target="../tables/table18.xml"/><Relationship Id="rId4"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6.xml"/><Relationship Id="rId5" Type="http://schemas.openxmlformats.org/officeDocument/2006/relationships/table" Target="../tables/table22.xml"/><Relationship Id="rId4"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BF2B-711E-4F3A-94DE-B8CCD00A461E}">
  <dimension ref="B2:F8"/>
  <sheetViews>
    <sheetView zoomScaleNormal="100" workbookViewId="0">
      <selection activeCell="B2" sqref="B2"/>
    </sheetView>
  </sheetViews>
  <sheetFormatPr defaultRowHeight="14.25" x14ac:dyDescent="0.45"/>
  <cols>
    <col min="2" max="2" width="22.3984375" customWidth="1"/>
    <col min="3" max="3" width="70.06640625" customWidth="1"/>
    <col min="5" max="5" width="20.46484375" customWidth="1"/>
    <col min="6" max="6" width="52.6640625" customWidth="1"/>
  </cols>
  <sheetData>
    <row r="2" spans="2:6" ht="21" x14ac:dyDescent="0.65">
      <c r="B2" s="8" t="s">
        <v>182</v>
      </c>
    </row>
    <row r="5" spans="2:6" x14ac:dyDescent="0.45">
      <c r="B5" t="s">
        <v>183</v>
      </c>
      <c r="C5" t="s">
        <v>184</v>
      </c>
      <c r="E5" t="s">
        <v>185</v>
      </c>
      <c r="F5" t="s">
        <v>184</v>
      </c>
    </row>
    <row r="6" spans="2:6" ht="114" x14ac:dyDescent="0.45">
      <c r="B6" s="29">
        <v>1</v>
      </c>
      <c r="C6" s="28" t="s">
        <v>189</v>
      </c>
      <c r="E6" s="29">
        <v>1</v>
      </c>
      <c r="F6" s="28" t="s">
        <v>187</v>
      </c>
    </row>
    <row r="7" spans="2:6" ht="128.25" x14ac:dyDescent="0.45">
      <c r="B7" s="29">
        <v>2</v>
      </c>
      <c r="C7" s="9" t="s">
        <v>190</v>
      </c>
      <c r="E7" s="29">
        <v>2</v>
      </c>
      <c r="F7" s="28" t="s">
        <v>188</v>
      </c>
    </row>
    <row r="8" spans="2:6" ht="99.75" x14ac:dyDescent="0.45">
      <c r="B8" s="29">
        <v>3</v>
      </c>
      <c r="C8" s="9" t="s">
        <v>191</v>
      </c>
      <c r="E8" s="29">
        <v>3</v>
      </c>
      <c r="F8" s="28" t="s">
        <v>186</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D03A-5671-40FE-8B99-B931D657BC77}">
  <dimension ref="A1"/>
  <sheetViews>
    <sheetView topLeftCell="A7" workbookViewId="0">
      <selection activeCell="D22" sqref="D22"/>
    </sheetView>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5"/>
  <sheetViews>
    <sheetView topLeftCell="A121" workbookViewId="0">
      <selection activeCell="M137" sqref="M137:M139"/>
    </sheetView>
  </sheetViews>
  <sheetFormatPr defaultRowHeight="14.25" x14ac:dyDescent="0.45"/>
  <sheetData>
    <row r="1" spans="1:1" x14ac:dyDescent="0.45">
      <c r="A1" t="s">
        <v>0</v>
      </c>
    </row>
    <row r="2" spans="1:1" x14ac:dyDescent="0.45">
      <c r="A2" t="s">
        <v>1</v>
      </c>
    </row>
    <row r="3" spans="1:1" x14ac:dyDescent="0.45">
      <c r="A3" t="s">
        <v>2</v>
      </c>
    </row>
    <row r="4" spans="1:1" x14ac:dyDescent="0.45">
      <c r="A4" t="s">
        <v>3</v>
      </c>
    </row>
    <row r="5" spans="1:1" x14ac:dyDescent="0.45">
      <c r="A5" t="s">
        <v>0</v>
      </c>
    </row>
    <row r="7" spans="1:1" x14ac:dyDescent="0.45">
      <c r="A7" t="s">
        <v>4</v>
      </c>
    </row>
    <row r="8" spans="1:1" x14ac:dyDescent="0.45">
      <c r="A8" t="s">
        <v>5</v>
      </c>
    </row>
    <row r="9" spans="1:1" x14ac:dyDescent="0.45">
      <c r="A9" t="s">
        <v>6</v>
      </c>
    </row>
    <row r="10" spans="1:1" x14ac:dyDescent="0.45">
      <c r="A10" t="s">
        <v>5</v>
      </c>
    </row>
    <row r="11" spans="1:1" x14ac:dyDescent="0.45">
      <c r="A11" t="s">
        <v>39</v>
      </c>
    </row>
    <row r="12" spans="1:1" x14ac:dyDescent="0.45">
      <c r="A12" t="s">
        <v>40</v>
      </c>
    </row>
    <row r="13" spans="1:1" x14ac:dyDescent="0.45">
      <c r="A13" t="s">
        <v>41</v>
      </c>
    </row>
    <row r="14" spans="1:1" x14ac:dyDescent="0.45">
      <c r="A14" t="s">
        <v>42</v>
      </c>
    </row>
    <row r="15" spans="1:1" x14ac:dyDescent="0.45">
      <c r="A15" t="s">
        <v>43</v>
      </c>
    </row>
    <row r="16" spans="1:1" x14ac:dyDescent="0.45">
      <c r="A16" t="s">
        <v>44</v>
      </c>
    </row>
    <row r="17" spans="1:1" x14ac:dyDescent="0.45">
      <c r="A17" t="s">
        <v>45</v>
      </c>
    </row>
    <row r="18" spans="1:1" x14ac:dyDescent="0.45">
      <c r="A18" t="s">
        <v>7</v>
      </c>
    </row>
    <row r="19" spans="1:1" x14ac:dyDescent="0.45">
      <c r="A19" t="s">
        <v>46</v>
      </c>
    </row>
    <row r="20" spans="1:1" x14ac:dyDescent="0.45">
      <c r="A20" t="s">
        <v>8</v>
      </c>
    </row>
    <row r="21" spans="1:1" x14ac:dyDescent="0.45">
      <c r="A21" t="s">
        <v>5</v>
      </c>
    </row>
    <row r="23" spans="1:1" x14ac:dyDescent="0.45">
      <c r="A23" t="s">
        <v>9</v>
      </c>
    </row>
    <row r="24" spans="1:1" x14ac:dyDescent="0.45">
      <c r="A24" t="s">
        <v>47</v>
      </c>
    </row>
    <row r="25" spans="1:1" x14ac:dyDescent="0.45">
      <c r="A25" t="s">
        <v>48</v>
      </c>
    </row>
    <row r="26" spans="1:1" x14ac:dyDescent="0.45">
      <c r="A26" t="s">
        <v>47</v>
      </c>
    </row>
    <row r="27" spans="1:1" x14ac:dyDescent="0.45">
      <c r="A27" t="s">
        <v>49</v>
      </c>
    </row>
    <row r="28" spans="1:1" x14ac:dyDescent="0.45">
      <c r="A28" t="s">
        <v>50</v>
      </c>
    </row>
    <row r="29" spans="1:1" x14ac:dyDescent="0.45">
      <c r="A29" t="s">
        <v>51</v>
      </c>
    </row>
    <row r="30" spans="1:1" x14ac:dyDescent="0.45">
      <c r="A30" t="s">
        <v>52</v>
      </c>
    </row>
    <row r="31" spans="1:1" x14ac:dyDescent="0.45">
      <c r="A31" t="s">
        <v>53</v>
      </c>
    </row>
    <row r="32" spans="1:1" x14ac:dyDescent="0.45">
      <c r="A32" t="s">
        <v>54</v>
      </c>
    </row>
    <row r="33" spans="1:1" x14ac:dyDescent="0.45">
      <c r="A33" t="s">
        <v>55</v>
      </c>
    </row>
    <row r="34" spans="1:1" x14ac:dyDescent="0.45">
      <c r="A34" t="s">
        <v>56</v>
      </c>
    </row>
    <row r="35" spans="1:1" x14ac:dyDescent="0.45">
      <c r="A35" t="s">
        <v>57</v>
      </c>
    </row>
    <row r="36" spans="1:1" x14ac:dyDescent="0.45">
      <c r="A36" t="s">
        <v>58</v>
      </c>
    </row>
    <row r="37" spans="1:1" x14ac:dyDescent="0.45">
      <c r="A37" t="s">
        <v>47</v>
      </c>
    </row>
    <row r="38" spans="1:1" x14ac:dyDescent="0.45">
      <c r="A38" t="s">
        <v>59</v>
      </c>
    </row>
    <row r="40" spans="1:1" x14ac:dyDescent="0.45">
      <c r="A40" t="s">
        <v>10</v>
      </c>
    </row>
    <row r="41" spans="1:1" x14ac:dyDescent="0.45">
      <c r="A41" t="s">
        <v>5</v>
      </c>
    </row>
    <row r="42" spans="1:1" x14ac:dyDescent="0.45">
      <c r="A42" t="s">
        <v>60</v>
      </c>
    </row>
    <row r="43" spans="1:1" x14ac:dyDescent="0.45">
      <c r="A43" t="s">
        <v>61</v>
      </c>
    </row>
    <row r="44" spans="1:1" x14ac:dyDescent="0.45">
      <c r="A44" t="s">
        <v>62</v>
      </c>
    </row>
    <row r="46" spans="1:1" x14ac:dyDescent="0.45">
      <c r="A46" t="s">
        <v>11</v>
      </c>
    </row>
    <row r="47" spans="1:1" x14ac:dyDescent="0.45">
      <c r="A47" t="s">
        <v>12</v>
      </c>
    </row>
    <row r="49" spans="1:1" x14ac:dyDescent="0.45">
      <c r="A49" t="s">
        <v>0</v>
      </c>
    </row>
    <row r="50" spans="1:1" x14ac:dyDescent="0.45">
      <c r="A50" t="s">
        <v>63</v>
      </c>
    </row>
    <row r="51" spans="1:1" x14ac:dyDescent="0.45">
      <c r="A51" t="s">
        <v>5</v>
      </c>
    </row>
    <row r="52" spans="1:1" x14ac:dyDescent="0.45">
      <c r="A52" t="s">
        <v>64</v>
      </c>
    </row>
    <row r="53" spans="1:1" x14ac:dyDescent="0.45">
      <c r="A53" t="s">
        <v>65</v>
      </c>
    </row>
    <row r="54" spans="1:1" x14ac:dyDescent="0.45">
      <c r="A54" t="s">
        <v>66</v>
      </c>
    </row>
    <row r="56" spans="1:1" x14ac:dyDescent="0.45">
      <c r="A56" t="s">
        <v>67</v>
      </c>
    </row>
    <row r="57" spans="1:1" x14ac:dyDescent="0.45">
      <c r="A57" t="s">
        <v>68</v>
      </c>
    </row>
    <row r="58" spans="1:1" x14ac:dyDescent="0.45">
      <c r="A58" t="s">
        <v>69</v>
      </c>
    </row>
    <row r="60" spans="1:1" x14ac:dyDescent="0.45">
      <c r="A60" t="s">
        <v>70</v>
      </c>
    </row>
    <row r="61" spans="1:1" x14ac:dyDescent="0.45">
      <c r="A61" t="s">
        <v>71</v>
      </c>
    </row>
    <row r="62" spans="1:1" x14ac:dyDescent="0.45">
      <c r="A62" t="s">
        <v>72</v>
      </c>
    </row>
    <row r="64" spans="1:1" x14ac:dyDescent="0.45">
      <c r="A64" t="s">
        <v>73</v>
      </c>
    </row>
    <row r="65" spans="1:1" x14ac:dyDescent="0.45">
      <c r="A65" t="s">
        <v>74</v>
      </c>
    </row>
    <row r="66" spans="1:1" x14ac:dyDescent="0.45">
      <c r="A66" t="s">
        <v>75</v>
      </c>
    </row>
    <row r="67" spans="1:1" x14ac:dyDescent="0.45">
      <c r="A67" t="s">
        <v>76</v>
      </c>
    </row>
    <row r="68" spans="1:1" x14ac:dyDescent="0.45">
      <c r="A68" t="s">
        <v>77</v>
      </c>
    </row>
    <row r="69" spans="1:1" x14ac:dyDescent="0.45">
      <c r="A69" t="s">
        <v>78</v>
      </c>
    </row>
    <row r="70" spans="1:1" x14ac:dyDescent="0.45">
      <c r="A70" t="s">
        <v>79</v>
      </c>
    </row>
    <row r="71" spans="1:1" x14ac:dyDescent="0.45">
      <c r="A71" t="s">
        <v>80</v>
      </c>
    </row>
    <row r="72" spans="1:1" x14ac:dyDescent="0.45">
      <c r="A72" t="s">
        <v>81</v>
      </c>
    </row>
    <row r="74" spans="1:1" x14ac:dyDescent="0.45">
      <c r="A74" t="s">
        <v>0</v>
      </c>
    </row>
    <row r="75" spans="1:1" x14ac:dyDescent="0.45">
      <c r="A75" t="s">
        <v>82</v>
      </c>
    </row>
    <row r="76" spans="1:1" x14ac:dyDescent="0.45">
      <c r="A76" t="s">
        <v>5</v>
      </c>
    </row>
    <row r="77" spans="1:1" x14ac:dyDescent="0.45">
      <c r="A77" t="s">
        <v>83</v>
      </c>
    </row>
    <row r="78" spans="1:1" x14ac:dyDescent="0.45">
      <c r="A78" t="s">
        <v>84</v>
      </c>
    </row>
    <row r="79" spans="1:1" x14ac:dyDescent="0.45">
      <c r="A79" t="s">
        <v>85</v>
      </c>
    </row>
    <row r="81" spans="1:1" x14ac:dyDescent="0.45">
      <c r="A81" t="s">
        <v>86</v>
      </c>
    </row>
    <row r="82" spans="1:1" x14ac:dyDescent="0.45">
      <c r="A82" t="s">
        <v>87</v>
      </c>
    </row>
    <row r="83" spans="1:1" x14ac:dyDescent="0.45">
      <c r="A83" t="s">
        <v>88</v>
      </c>
    </row>
    <row r="85" spans="1:1" x14ac:dyDescent="0.45">
      <c r="A85" t="s">
        <v>89</v>
      </c>
    </row>
    <row r="86" spans="1:1" x14ac:dyDescent="0.45">
      <c r="A86" t="s">
        <v>90</v>
      </c>
    </row>
    <row r="87" spans="1:1" x14ac:dyDescent="0.45">
      <c r="A87" t="s">
        <v>91</v>
      </c>
    </row>
    <row r="88" spans="1:1" x14ac:dyDescent="0.45">
      <c r="A88" t="s">
        <v>92</v>
      </c>
    </row>
    <row r="89" spans="1:1" x14ac:dyDescent="0.45">
      <c r="A89" t="s">
        <v>93</v>
      </c>
    </row>
    <row r="91" spans="1:1" x14ac:dyDescent="0.45">
      <c r="A91" t="s">
        <v>94</v>
      </c>
    </row>
    <row r="92" spans="1:1" x14ac:dyDescent="0.45">
      <c r="A92" t="s">
        <v>95</v>
      </c>
    </row>
    <row r="93" spans="1:1" x14ac:dyDescent="0.45">
      <c r="A93" t="s">
        <v>96</v>
      </c>
    </row>
    <row r="95" spans="1:1" x14ac:dyDescent="0.45">
      <c r="A95" t="s">
        <v>97</v>
      </c>
    </row>
    <row r="96" spans="1:1" x14ac:dyDescent="0.45">
      <c r="A96" t="s">
        <v>98</v>
      </c>
    </row>
    <row r="97" spans="1:3" x14ac:dyDescent="0.45">
      <c r="A97" t="s">
        <v>99</v>
      </c>
    </row>
    <row r="99" spans="1:3" x14ac:dyDescent="0.45">
      <c r="A99" t="s">
        <v>13</v>
      </c>
    </row>
    <row r="100" spans="1:3" x14ac:dyDescent="0.45">
      <c r="A100" t="s">
        <v>0</v>
      </c>
    </row>
    <row r="102" spans="1:3" s="35" customFormat="1" x14ac:dyDescent="0.45"/>
    <row r="104" spans="1:3" x14ac:dyDescent="0.45">
      <c r="A104" s="3" t="s">
        <v>208</v>
      </c>
      <c r="B104" s="3"/>
      <c r="C104" s="3"/>
    </row>
    <row r="106" spans="1:3" x14ac:dyDescent="0.45">
      <c r="A106" t="s">
        <v>0</v>
      </c>
    </row>
    <row r="107" spans="1:3" x14ac:dyDescent="0.45">
      <c r="A107" t="s">
        <v>1</v>
      </c>
    </row>
    <row r="108" spans="1:3" x14ac:dyDescent="0.45">
      <c r="A108" t="s">
        <v>2</v>
      </c>
    </row>
    <row r="109" spans="1:3" x14ac:dyDescent="0.45">
      <c r="A109" t="s">
        <v>3</v>
      </c>
    </row>
    <row r="110" spans="1:3" x14ac:dyDescent="0.45">
      <c r="A110" t="s">
        <v>0</v>
      </c>
    </row>
    <row r="112" spans="1:3" x14ac:dyDescent="0.45">
      <c r="A112" t="s">
        <v>4</v>
      </c>
    </row>
    <row r="113" spans="1:1" x14ac:dyDescent="0.45">
      <c r="A113" t="s">
        <v>5</v>
      </c>
    </row>
    <row r="114" spans="1:1" x14ac:dyDescent="0.45">
      <c r="A114" t="s">
        <v>6</v>
      </c>
    </row>
    <row r="115" spans="1:1" x14ac:dyDescent="0.45">
      <c r="A115" t="s">
        <v>5</v>
      </c>
    </row>
    <row r="116" spans="1:1" x14ac:dyDescent="0.45">
      <c r="A116" t="s">
        <v>218</v>
      </c>
    </row>
    <row r="117" spans="1:1" x14ac:dyDescent="0.45">
      <c r="A117" t="s">
        <v>219</v>
      </c>
    </row>
    <row r="118" spans="1:1" x14ac:dyDescent="0.45">
      <c r="A118" t="s">
        <v>220</v>
      </c>
    </row>
    <row r="119" spans="1:1" x14ac:dyDescent="0.45">
      <c r="A119" t="s">
        <v>221</v>
      </c>
    </row>
    <row r="120" spans="1:1" x14ac:dyDescent="0.45">
      <c r="A120" t="s">
        <v>222</v>
      </c>
    </row>
    <row r="121" spans="1:1" x14ac:dyDescent="0.45">
      <c r="A121" t="s">
        <v>223</v>
      </c>
    </row>
    <row r="122" spans="1:1" x14ac:dyDescent="0.45">
      <c r="A122" t="s">
        <v>224</v>
      </c>
    </row>
    <row r="123" spans="1:1" x14ac:dyDescent="0.45">
      <c r="A123" t="s">
        <v>7</v>
      </c>
    </row>
    <row r="124" spans="1:1" x14ac:dyDescent="0.45">
      <c r="A124" t="s">
        <v>225</v>
      </c>
    </row>
    <row r="125" spans="1:1" x14ac:dyDescent="0.45">
      <c r="A125" t="s">
        <v>226</v>
      </c>
    </row>
    <row r="126" spans="1:1" x14ac:dyDescent="0.45">
      <c r="A126" t="s">
        <v>5</v>
      </c>
    </row>
    <row r="128" spans="1:1" x14ac:dyDescent="0.45">
      <c r="A128" t="s">
        <v>9</v>
      </c>
    </row>
    <row r="129" spans="1:1" x14ac:dyDescent="0.45">
      <c r="A129" t="s">
        <v>47</v>
      </c>
    </row>
    <row r="130" spans="1:1" x14ac:dyDescent="0.45">
      <c r="A130" t="s">
        <v>48</v>
      </c>
    </row>
    <row r="131" spans="1:1" x14ac:dyDescent="0.45">
      <c r="A131" t="s">
        <v>47</v>
      </c>
    </row>
    <row r="132" spans="1:1" x14ac:dyDescent="0.45">
      <c r="A132" t="s">
        <v>196</v>
      </c>
    </row>
    <row r="133" spans="1:1" x14ac:dyDescent="0.45">
      <c r="A133" t="s">
        <v>197</v>
      </c>
    </row>
    <row r="134" spans="1:1" x14ac:dyDescent="0.45">
      <c r="A134" t="s">
        <v>198</v>
      </c>
    </row>
    <row r="135" spans="1:1" x14ac:dyDescent="0.45">
      <c r="A135" t="s">
        <v>199</v>
      </c>
    </row>
    <row r="136" spans="1:1" x14ac:dyDescent="0.45">
      <c r="A136" t="s">
        <v>200</v>
      </c>
    </row>
    <row r="137" spans="1:1" x14ac:dyDescent="0.45">
      <c r="A137" t="s">
        <v>201</v>
      </c>
    </row>
    <row r="138" spans="1:1" x14ac:dyDescent="0.45">
      <c r="A138" t="s">
        <v>202</v>
      </c>
    </row>
    <row r="139" spans="1:1" x14ac:dyDescent="0.45">
      <c r="A139" t="s">
        <v>203</v>
      </c>
    </row>
    <row r="140" spans="1:1" x14ac:dyDescent="0.45">
      <c r="A140" t="s">
        <v>204</v>
      </c>
    </row>
    <row r="141" spans="1:1" x14ac:dyDescent="0.45">
      <c r="A141" t="s">
        <v>205</v>
      </c>
    </row>
    <row r="142" spans="1:1" x14ac:dyDescent="0.45">
      <c r="A142" t="s">
        <v>47</v>
      </c>
    </row>
    <row r="143" spans="1:1" x14ac:dyDescent="0.45">
      <c r="A143" t="s">
        <v>206</v>
      </c>
    </row>
    <row r="145" spans="1:1" x14ac:dyDescent="0.45">
      <c r="A145" t="s">
        <v>10</v>
      </c>
    </row>
    <row r="146" spans="1:1" x14ac:dyDescent="0.45">
      <c r="A146" t="s">
        <v>5</v>
      </c>
    </row>
    <row r="147" spans="1:1" x14ac:dyDescent="0.45">
      <c r="A147" t="s">
        <v>227</v>
      </c>
    </row>
    <row r="148" spans="1:1" x14ac:dyDescent="0.45">
      <c r="A148" t="s">
        <v>228</v>
      </c>
    </row>
    <row r="149" spans="1:1" x14ac:dyDescent="0.45">
      <c r="A149" t="s">
        <v>229</v>
      </c>
    </row>
    <row r="151" spans="1:1" x14ac:dyDescent="0.45">
      <c r="A151" t="s">
        <v>11</v>
      </c>
    </row>
    <row r="152" spans="1:1" x14ac:dyDescent="0.45">
      <c r="A152" t="s">
        <v>12</v>
      </c>
    </row>
    <row r="154" spans="1:1" x14ac:dyDescent="0.45">
      <c r="A154" t="s">
        <v>0</v>
      </c>
    </row>
    <row r="155" spans="1:1" x14ac:dyDescent="0.45">
      <c r="A155" t="s">
        <v>63</v>
      </c>
    </row>
    <row r="156" spans="1:1" x14ac:dyDescent="0.45">
      <c r="A156" t="s">
        <v>5</v>
      </c>
    </row>
    <row r="157" spans="1:1" x14ac:dyDescent="0.45">
      <c r="A157" t="s">
        <v>230</v>
      </c>
    </row>
    <row r="158" spans="1:1" x14ac:dyDescent="0.45">
      <c r="A158" t="s">
        <v>231</v>
      </c>
    </row>
    <row r="159" spans="1:1" x14ac:dyDescent="0.45">
      <c r="A159" t="s">
        <v>232</v>
      </c>
    </row>
    <row r="161" spans="1:1" x14ac:dyDescent="0.45">
      <c r="A161" t="s">
        <v>233</v>
      </c>
    </row>
    <row r="162" spans="1:1" x14ac:dyDescent="0.45">
      <c r="A162" t="s">
        <v>234</v>
      </c>
    </row>
    <row r="163" spans="1:1" x14ac:dyDescent="0.45">
      <c r="A163" t="s">
        <v>235</v>
      </c>
    </row>
    <row r="165" spans="1:1" x14ac:dyDescent="0.45">
      <c r="A165" t="s">
        <v>236</v>
      </c>
    </row>
    <row r="166" spans="1:1" x14ac:dyDescent="0.45">
      <c r="A166" t="s">
        <v>237</v>
      </c>
    </row>
    <row r="167" spans="1:1" x14ac:dyDescent="0.45">
      <c r="A167" t="s">
        <v>238</v>
      </c>
    </row>
    <row r="169" spans="1:1" x14ac:dyDescent="0.45">
      <c r="A169" t="s">
        <v>73</v>
      </c>
    </row>
    <row r="170" spans="1:1" x14ac:dyDescent="0.45">
      <c r="A170" t="s">
        <v>74</v>
      </c>
    </row>
    <row r="171" spans="1:1" x14ac:dyDescent="0.45">
      <c r="A171" t="s">
        <v>75</v>
      </c>
    </row>
    <row r="172" spans="1:1" x14ac:dyDescent="0.45">
      <c r="A172" t="s">
        <v>76</v>
      </c>
    </row>
    <row r="173" spans="1:1" x14ac:dyDescent="0.45">
      <c r="A173" t="s">
        <v>77</v>
      </c>
    </row>
    <row r="174" spans="1:1" x14ac:dyDescent="0.45">
      <c r="A174" t="s">
        <v>78</v>
      </c>
    </row>
    <row r="175" spans="1:1" x14ac:dyDescent="0.45">
      <c r="A175" t="s">
        <v>79</v>
      </c>
    </row>
    <row r="176" spans="1:1" x14ac:dyDescent="0.45">
      <c r="A176" t="s">
        <v>80</v>
      </c>
    </row>
    <row r="177" spans="1:1" x14ac:dyDescent="0.45">
      <c r="A177" t="s">
        <v>81</v>
      </c>
    </row>
    <row r="179" spans="1:1" x14ac:dyDescent="0.45">
      <c r="A179" t="s">
        <v>0</v>
      </c>
    </row>
    <row r="180" spans="1:1" x14ac:dyDescent="0.45">
      <c r="A180" t="s">
        <v>82</v>
      </c>
    </row>
    <row r="181" spans="1:1" x14ac:dyDescent="0.45">
      <c r="A181" t="s">
        <v>5</v>
      </c>
    </row>
    <row r="182" spans="1:1" x14ac:dyDescent="0.45">
      <c r="A182" t="s">
        <v>83</v>
      </c>
    </row>
    <row r="183" spans="1:1" x14ac:dyDescent="0.45">
      <c r="A183" t="s">
        <v>84</v>
      </c>
    </row>
    <row r="184" spans="1:1" x14ac:dyDescent="0.45">
      <c r="A184" t="s">
        <v>85</v>
      </c>
    </row>
    <row r="186" spans="1:1" x14ac:dyDescent="0.45">
      <c r="A186" t="s">
        <v>86</v>
      </c>
    </row>
    <row r="187" spans="1:1" x14ac:dyDescent="0.45">
      <c r="A187" t="s">
        <v>87</v>
      </c>
    </row>
    <row r="188" spans="1:1" x14ac:dyDescent="0.45">
      <c r="A188" t="s">
        <v>88</v>
      </c>
    </row>
    <row r="190" spans="1:1" x14ac:dyDescent="0.45">
      <c r="A190" t="s">
        <v>89</v>
      </c>
    </row>
    <row r="191" spans="1:1" x14ac:dyDescent="0.45">
      <c r="A191" t="s">
        <v>90</v>
      </c>
    </row>
    <row r="192" spans="1:1" x14ac:dyDescent="0.45">
      <c r="A192" t="s">
        <v>91</v>
      </c>
    </row>
    <row r="193" spans="1:1" x14ac:dyDescent="0.45">
      <c r="A193" t="s">
        <v>92</v>
      </c>
    </row>
    <row r="194" spans="1:1" x14ac:dyDescent="0.45">
      <c r="A194" t="s">
        <v>93</v>
      </c>
    </row>
    <row r="196" spans="1:1" x14ac:dyDescent="0.45">
      <c r="A196" t="s">
        <v>94</v>
      </c>
    </row>
    <row r="197" spans="1:1" x14ac:dyDescent="0.45">
      <c r="A197" t="s">
        <v>95</v>
      </c>
    </row>
    <row r="198" spans="1:1" x14ac:dyDescent="0.45">
      <c r="A198" t="s">
        <v>96</v>
      </c>
    </row>
    <row r="200" spans="1:1" x14ac:dyDescent="0.45">
      <c r="A200" t="s">
        <v>97</v>
      </c>
    </row>
    <row r="201" spans="1:1" x14ac:dyDescent="0.45">
      <c r="A201" t="s">
        <v>98</v>
      </c>
    </row>
    <row r="202" spans="1:1" x14ac:dyDescent="0.45">
      <c r="A202" t="s">
        <v>99</v>
      </c>
    </row>
    <row r="204" spans="1:1" x14ac:dyDescent="0.45">
      <c r="A204" t="s">
        <v>13</v>
      </c>
    </row>
    <row r="205" spans="1:1" x14ac:dyDescent="0.45">
      <c r="A205"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4194-6618-4115-AD4A-B94605FBE0E1}">
  <dimension ref="A3:A102"/>
  <sheetViews>
    <sheetView topLeftCell="A19" workbookViewId="0">
      <selection activeCell="B39" sqref="B39"/>
    </sheetView>
  </sheetViews>
  <sheetFormatPr defaultRowHeight="14.25" x14ac:dyDescent="0.45"/>
  <sheetData>
    <row r="3" spans="1:1" x14ac:dyDescent="0.45">
      <c r="A3" t="s">
        <v>0</v>
      </c>
    </row>
    <row r="4" spans="1:1" x14ac:dyDescent="0.45">
      <c r="A4" t="s">
        <v>1</v>
      </c>
    </row>
    <row r="5" spans="1:1" x14ac:dyDescent="0.45">
      <c r="A5" t="s">
        <v>2</v>
      </c>
    </row>
    <row r="6" spans="1:1" x14ac:dyDescent="0.45">
      <c r="A6" t="s">
        <v>3</v>
      </c>
    </row>
    <row r="7" spans="1:1" x14ac:dyDescent="0.45">
      <c r="A7" t="s">
        <v>0</v>
      </c>
    </row>
    <row r="9" spans="1:1" x14ac:dyDescent="0.45">
      <c r="A9" t="s">
        <v>4</v>
      </c>
    </row>
    <row r="10" spans="1:1" x14ac:dyDescent="0.45">
      <c r="A10" t="s">
        <v>5</v>
      </c>
    </row>
    <row r="11" spans="1:1" x14ac:dyDescent="0.45">
      <c r="A11" t="s">
        <v>6</v>
      </c>
    </row>
    <row r="12" spans="1:1" x14ac:dyDescent="0.45">
      <c r="A12" t="s">
        <v>5</v>
      </c>
    </row>
    <row r="13" spans="1:1" x14ac:dyDescent="0.45">
      <c r="A13" t="s">
        <v>285</v>
      </c>
    </row>
    <row r="14" spans="1:1" x14ac:dyDescent="0.45">
      <c r="A14" t="s">
        <v>286</v>
      </c>
    </row>
    <row r="15" spans="1:1" x14ac:dyDescent="0.45">
      <c r="A15" t="s">
        <v>287</v>
      </c>
    </row>
    <row r="16" spans="1:1" x14ac:dyDescent="0.45">
      <c r="A16" t="s">
        <v>288</v>
      </c>
    </row>
    <row r="17" spans="1:1" x14ac:dyDescent="0.45">
      <c r="A17" t="s">
        <v>289</v>
      </c>
    </row>
    <row r="18" spans="1:1" x14ac:dyDescent="0.45">
      <c r="A18" t="s">
        <v>290</v>
      </c>
    </row>
    <row r="19" spans="1:1" x14ac:dyDescent="0.45">
      <c r="A19" t="s">
        <v>291</v>
      </c>
    </row>
    <row r="20" spans="1:1" x14ac:dyDescent="0.45">
      <c r="A20" t="s">
        <v>7</v>
      </c>
    </row>
    <row r="21" spans="1:1" x14ac:dyDescent="0.45">
      <c r="A21" t="s">
        <v>292</v>
      </c>
    </row>
    <row r="22" spans="1:1" x14ac:dyDescent="0.45">
      <c r="A22" t="s">
        <v>293</v>
      </c>
    </row>
    <row r="23" spans="1:1" x14ac:dyDescent="0.45">
      <c r="A23" t="s">
        <v>5</v>
      </c>
    </row>
    <row r="25" spans="1:1" x14ac:dyDescent="0.45">
      <c r="A25" t="s">
        <v>9</v>
      </c>
    </row>
    <row r="26" spans="1:1" x14ac:dyDescent="0.45">
      <c r="A26" t="s">
        <v>47</v>
      </c>
    </row>
    <row r="27" spans="1:1" x14ac:dyDescent="0.45">
      <c r="A27" t="s">
        <v>48</v>
      </c>
    </row>
    <row r="28" spans="1:1" x14ac:dyDescent="0.45">
      <c r="A28" t="s">
        <v>47</v>
      </c>
    </row>
    <row r="29" spans="1:1" x14ac:dyDescent="0.45">
      <c r="A29" t="s">
        <v>294</v>
      </c>
    </row>
    <row r="30" spans="1:1" x14ac:dyDescent="0.45">
      <c r="A30" t="s">
        <v>295</v>
      </c>
    </row>
    <row r="31" spans="1:1" x14ac:dyDescent="0.45">
      <c r="A31" t="s">
        <v>296</v>
      </c>
    </row>
    <row r="32" spans="1:1" x14ac:dyDescent="0.45">
      <c r="A32" t="s">
        <v>297</v>
      </c>
    </row>
    <row r="33" spans="1:1" x14ac:dyDescent="0.45">
      <c r="A33" t="s">
        <v>298</v>
      </c>
    </row>
    <row r="34" spans="1:1" x14ac:dyDescent="0.45">
      <c r="A34" t="s">
        <v>299</v>
      </c>
    </row>
    <row r="35" spans="1:1" x14ac:dyDescent="0.45">
      <c r="A35" t="s">
        <v>300</v>
      </c>
    </row>
    <row r="36" spans="1:1" x14ac:dyDescent="0.45">
      <c r="A36" t="s">
        <v>301</v>
      </c>
    </row>
    <row r="37" spans="1:1" x14ac:dyDescent="0.45">
      <c r="A37" t="s">
        <v>302</v>
      </c>
    </row>
    <row r="38" spans="1:1" x14ac:dyDescent="0.45">
      <c r="A38" t="s">
        <v>303</v>
      </c>
    </row>
    <row r="39" spans="1:1" x14ac:dyDescent="0.45">
      <c r="A39" t="s">
        <v>47</v>
      </c>
    </row>
    <row r="40" spans="1:1" x14ac:dyDescent="0.45">
      <c r="A40" t="s">
        <v>304</v>
      </c>
    </row>
    <row r="42" spans="1:1" x14ac:dyDescent="0.45">
      <c r="A42" t="s">
        <v>10</v>
      </c>
    </row>
    <row r="43" spans="1:1" x14ac:dyDescent="0.45">
      <c r="A43" t="s">
        <v>5</v>
      </c>
    </row>
    <row r="44" spans="1:1" x14ac:dyDescent="0.45">
      <c r="A44" t="s">
        <v>305</v>
      </c>
    </row>
    <row r="45" spans="1:1" x14ac:dyDescent="0.45">
      <c r="A45" t="s">
        <v>306</v>
      </c>
    </row>
    <row r="46" spans="1:1" x14ac:dyDescent="0.45">
      <c r="A46" t="s">
        <v>307</v>
      </c>
    </row>
    <row r="48" spans="1:1" x14ac:dyDescent="0.45">
      <c r="A48" t="s">
        <v>11</v>
      </c>
    </row>
    <row r="49" spans="1:1" x14ac:dyDescent="0.45">
      <c r="A49" t="s">
        <v>12</v>
      </c>
    </row>
    <row r="51" spans="1:1" x14ac:dyDescent="0.45">
      <c r="A51" t="s">
        <v>0</v>
      </c>
    </row>
    <row r="52" spans="1:1" x14ac:dyDescent="0.45">
      <c r="A52" t="s">
        <v>63</v>
      </c>
    </row>
    <row r="53" spans="1:1" x14ac:dyDescent="0.45">
      <c r="A53" t="s">
        <v>5</v>
      </c>
    </row>
    <row r="54" spans="1:1" x14ac:dyDescent="0.45">
      <c r="A54" t="s">
        <v>308</v>
      </c>
    </row>
    <row r="55" spans="1:1" x14ac:dyDescent="0.45">
      <c r="A55" t="s">
        <v>309</v>
      </c>
    </row>
    <row r="56" spans="1:1" x14ac:dyDescent="0.45">
      <c r="A56" t="s">
        <v>310</v>
      </c>
    </row>
    <row r="58" spans="1:1" x14ac:dyDescent="0.45">
      <c r="A58" t="s">
        <v>311</v>
      </c>
    </row>
    <row r="59" spans="1:1" x14ac:dyDescent="0.45">
      <c r="A59" t="s">
        <v>312</v>
      </c>
    </row>
    <row r="60" spans="1:1" x14ac:dyDescent="0.45">
      <c r="A60" t="s">
        <v>313</v>
      </c>
    </row>
    <row r="62" spans="1:1" x14ac:dyDescent="0.45">
      <c r="A62" t="s">
        <v>314</v>
      </c>
    </row>
    <row r="63" spans="1:1" x14ac:dyDescent="0.45">
      <c r="A63" t="s">
        <v>315</v>
      </c>
    </row>
    <row r="64" spans="1:1" x14ac:dyDescent="0.45">
      <c r="A64" t="s">
        <v>316</v>
      </c>
    </row>
    <row r="66" spans="1:1" x14ac:dyDescent="0.45">
      <c r="A66" t="s">
        <v>73</v>
      </c>
    </row>
    <row r="67" spans="1:1" x14ac:dyDescent="0.45">
      <c r="A67" t="s">
        <v>74</v>
      </c>
    </row>
    <row r="68" spans="1:1" x14ac:dyDescent="0.45">
      <c r="A68" t="s">
        <v>75</v>
      </c>
    </row>
    <row r="69" spans="1:1" x14ac:dyDescent="0.45">
      <c r="A69" t="s">
        <v>76</v>
      </c>
    </row>
    <row r="70" spans="1:1" x14ac:dyDescent="0.45">
      <c r="A70" t="s">
        <v>77</v>
      </c>
    </row>
    <row r="71" spans="1:1" x14ac:dyDescent="0.45">
      <c r="A71" t="s">
        <v>78</v>
      </c>
    </row>
    <row r="72" spans="1:1" x14ac:dyDescent="0.45">
      <c r="A72" t="s">
        <v>79</v>
      </c>
    </row>
    <row r="73" spans="1:1" x14ac:dyDescent="0.45">
      <c r="A73" t="s">
        <v>80</v>
      </c>
    </row>
    <row r="74" spans="1:1" x14ac:dyDescent="0.45">
      <c r="A74" t="s">
        <v>81</v>
      </c>
    </row>
    <row r="76" spans="1:1" x14ac:dyDescent="0.45">
      <c r="A76" t="s">
        <v>0</v>
      </c>
    </row>
    <row r="77" spans="1:1" x14ac:dyDescent="0.45">
      <c r="A77" t="s">
        <v>82</v>
      </c>
    </row>
    <row r="78" spans="1:1" x14ac:dyDescent="0.45">
      <c r="A78" t="s">
        <v>5</v>
      </c>
    </row>
    <row r="79" spans="1:1" x14ac:dyDescent="0.45">
      <c r="A79" t="s">
        <v>83</v>
      </c>
    </row>
    <row r="80" spans="1:1" x14ac:dyDescent="0.45">
      <c r="A80" t="s">
        <v>84</v>
      </c>
    </row>
    <row r="81" spans="1:1" x14ac:dyDescent="0.45">
      <c r="A81" t="s">
        <v>85</v>
      </c>
    </row>
    <row r="83" spans="1:1" x14ac:dyDescent="0.45">
      <c r="A83" t="s">
        <v>86</v>
      </c>
    </row>
    <row r="84" spans="1:1" x14ac:dyDescent="0.45">
      <c r="A84" t="s">
        <v>87</v>
      </c>
    </row>
    <row r="85" spans="1:1" x14ac:dyDescent="0.45">
      <c r="A85" t="s">
        <v>88</v>
      </c>
    </row>
    <row r="87" spans="1:1" x14ac:dyDescent="0.45">
      <c r="A87" t="s">
        <v>89</v>
      </c>
    </row>
    <row r="88" spans="1:1" x14ac:dyDescent="0.45">
      <c r="A88" t="s">
        <v>90</v>
      </c>
    </row>
    <row r="89" spans="1:1" x14ac:dyDescent="0.45">
      <c r="A89" t="s">
        <v>91</v>
      </c>
    </row>
    <row r="90" spans="1:1" x14ac:dyDescent="0.45">
      <c r="A90" t="s">
        <v>92</v>
      </c>
    </row>
    <row r="91" spans="1:1" x14ac:dyDescent="0.45">
      <c r="A91" t="s">
        <v>93</v>
      </c>
    </row>
    <row r="93" spans="1:1" x14ac:dyDescent="0.45">
      <c r="A93" t="s">
        <v>94</v>
      </c>
    </row>
    <row r="94" spans="1:1" x14ac:dyDescent="0.45">
      <c r="A94" t="s">
        <v>95</v>
      </c>
    </row>
    <row r="95" spans="1:1" x14ac:dyDescent="0.45">
      <c r="A95" t="s">
        <v>96</v>
      </c>
    </row>
    <row r="97" spans="1:1" x14ac:dyDescent="0.45">
      <c r="A97" t="s">
        <v>97</v>
      </c>
    </row>
    <row r="98" spans="1:1" x14ac:dyDescent="0.45">
      <c r="A98" t="s">
        <v>98</v>
      </c>
    </row>
    <row r="99" spans="1:1" x14ac:dyDescent="0.45">
      <c r="A99" t="s">
        <v>99</v>
      </c>
    </row>
    <row r="101" spans="1:1" x14ac:dyDescent="0.45">
      <c r="A101" t="s">
        <v>13</v>
      </c>
    </row>
    <row r="102" spans="1:1" x14ac:dyDescent="0.45">
      <c r="A102"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B7CB-FFBB-482A-8CB2-912A4006399A}">
  <dimension ref="A2:A101"/>
  <sheetViews>
    <sheetView topLeftCell="A19" workbookViewId="0">
      <selection activeCell="I39" sqref="A26:I39"/>
    </sheetView>
  </sheetViews>
  <sheetFormatPr defaultRowHeight="14.25" x14ac:dyDescent="0.45"/>
  <sheetData>
    <row r="2" spans="1:1" x14ac:dyDescent="0.45">
      <c r="A2" t="s">
        <v>0</v>
      </c>
    </row>
    <row r="3" spans="1:1" x14ac:dyDescent="0.45">
      <c r="A3" t="s">
        <v>1</v>
      </c>
    </row>
    <row r="4" spans="1:1" x14ac:dyDescent="0.45">
      <c r="A4" t="s">
        <v>2</v>
      </c>
    </row>
    <row r="5" spans="1:1" x14ac:dyDescent="0.45">
      <c r="A5" t="s">
        <v>3</v>
      </c>
    </row>
    <row r="6" spans="1:1" x14ac:dyDescent="0.45">
      <c r="A6" t="s">
        <v>0</v>
      </c>
    </row>
    <row r="8" spans="1:1" x14ac:dyDescent="0.45">
      <c r="A8" t="s">
        <v>4</v>
      </c>
    </row>
    <row r="9" spans="1:1" x14ac:dyDescent="0.45">
      <c r="A9" t="s">
        <v>5</v>
      </c>
    </row>
    <row r="10" spans="1:1" x14ac:dyDescent="0.45">
      <c r="A10" t="s">
        <v>6</v>
      </c>
    </row>
    <row r="11" spans="1:1" x14ac:dyDescent="0.45">
      <c r="A11" t="s">
        <v>5</v>
      </c>
    </row>
    <row r="12" spans="1:1" x14ac:dyDescent="0.45">
      <c r="A12" t="s">
        <v>331</v>
      </c>
    </row>
    <row r="13" spans="1:1" x14ac:dyDescent="0.45">
      <c r="A13" t="s">
        <v>332</v>
      </c>
    </row>
    <row r="14" spans="1:1" x14ac:dyDescent="0.45">
      <c r="A14" t="s">
        <v>333</v>
      </c>
    </row>
    <row r="15" spans="1:1" x14ac:dyDescent="0.45">
      <c r="A15" t="s">
        <v>334</v>
      </c>
    </row>
    <row r="16" spans="1:1" x14ac:dyDescent="0.45">
      <c r="A16" t="s">
        <v>335</v>
      </c>
    </row>
    <row r="17" spans="1:1" x14ac:dyDescent="0.45">
      <c r="A17" t="s">
        <v>336</v>
      </c>
    </row>
    <row r="18" spans="1:1" x14ac:dyDescent="0.45">
      <c r="A18" t="s">
        <v>337</v>
      </c>
    </row>
    <row r="19" spans="1:1" x14ac:dyDescent="0.45">
      <c r="A19" t="s">
        <v>7</v>
      </c>
    </row>
    <row r="20" spans="1:1" x14ac:dyDescent="0.45">
      <c r="A20" t="s">
        <v>338</v>
      </c>
    </row>
    <row r="21" spans="1:1" x14ac:dyDescent="0.45">
      <c r="A21" t="s">
        <v>339</v>
      </c>
    </row>
    <row r="22" spans="1:1" x14ac:dyDescent="0.45">
      <c r="A22" t="s">
        <v>5</v>
      </c>
    </row>
    <row r="24" spans="1:1" x14ac:dyDescent="0.45">
      <c r="A24" t="s">
        <v>9</v>
      </c>
    </row>
    <row r="25" spans="1:1" x14ac:dyDescent="0.45">
      <c r="A25" t="s">
        <v>47</v>
      </c>
    </row>
    <row r="26" spans="1:1" x14ac:dyDescent="0.45">
      <c r="A26" t="s">
        <v>48</v>
      </c>
    </row>
    <row r="27" spans="1:1" x14ac:dyDescent="0.45">
      <c r="A27" t="s">
        <v>47</v>
      </c>
    </row>
    <row r="28" spans="1:1" x14ac:dyDescent="0.45">
      <c r="A28" t="s">
        <v>340</v>
      </c>
    </row>
    <row r="29" spans="1:1" x14ac:dyDescent="0.45">
      <c r="A29" t="s">
        <v>341</v>
      </c>
    </row>
    <row r="30" spans="1:1" x14ac:dyDescent="0.45">
      <c r="A30" t="s">
        <v>342</v>
      </c>
    </row>
    <row r="31" spans="1:1" x14ac:dyDescent="0.45">
      <c r="A31" t="s">
        <v>343</v>
      </c>
    </row>
    <row r="32" spans="1:1" x14ac:dyDescent="0.45">
      <c r="A32" t="s">
        <v>344</v>
      </c>
    </row>
    <row r="33" spans="1:1" x14ac:dyDescent="0.45">
      <c r="A33" t="s">
        <v>345</v>
      </c>
    </row>
    <row r="34" spans="1:1" x14ac:dyDescent="0.45">
      <c r="A34" t="s">
        <v>346</v>
      </c>
    </row>
    <row r="35" spans="1:1" x14ac:dyDescent="0.45">
      <c r="A35" t="s">
        <v>347</v>
      </c>
    </row>
    <row r="36" spans="1:1" x14ac:dyDescent="0.45">
      <c r="A36" t="s">
        <v>348</v>
      </c>
    </row>
    <row r="37" spans="1:1" x14ac:dyDescent="0.45">
      <c r="A37" t="s">
        <v>349</v>
      </c>
    </row>
    <row r="38" spans="1:1" x14ac:dyDescent="0.45">
      <c r="A38" t="s">
        <v>47</v>
      </c>
    </row>
    <row r="39" spans="1:1" x14ac:dyDescent="0.45">
      <c r="A39" t="s">
        <v>350</v>
      </c>
    </row>
    <row r="41" spans="1:1" x14ac:dyDescent="0.45">
      <c r="A41" t="s">
        <v>10</v>
      </c>
    </row>
    <row r="42" spans="1:1" x14ac:dyDescent="0.45">
      <c r="A42" t="s">
        <v>5</v>
      </c>
    </row>
    <row r="43" spans="1:1" x14ac:dyDescent="0.45">
      <c r="A43" t="s">
        <v>351</v>
      </c>
    </row>
    <row r="44" spans="1:1" x14ac:dyDescent="0.45">
      <c r="A44" t="s">
        <v>352</v>
      </c>
    </row>
    <row r="45" spans="1:1" x14ac:dyDescent="0.45">
      <c r="A45" t="s">
        <v>353</v>
      </c>
    </row>
    <row r="47" spans="1:1" x14ac:dyDescent="0.45">
      <c r="A47" t="s">
        <v>11</v>
      </c>
    </row>
    <row r="48" spans="1:1" x14ac:dyDescent="0.45">
      <c r="A48" t="s">
        <v>12</v>
      </c>
    </row>
    <row r="50" spans="1:1" x14ac:dyDescent="0.45">
      <c r="A50" t="s">
        <v>0</v>
      </c>
    </row>
    <row r="51" spans="1:1" x14ac:dyDescent="0.45">
      <c r="A51" t="s">
        <v>63</v>
      </c>
    </row>
    <row r="52" spans="1:1" x14ac:dyDescent="0.45">
      <c r="A52" t="s">
        <v>5</v>
      </c>
    </row>
    <row r="53" spans="1:1" x14ac:dyDescent="0.45">
      <c r="A53" t="s">
        <v>354</v>
      </c>
    </row>
    <row r="54" spans="1:1" x14ac:dyDescent="0.45">
      <c r="A54" t="s">
        <v>355</v>
      </c>
    </row>
    <row r="55" spans="1:1" x14ac:dyDescent="0.45">
      <c r="A55" t="s">
        <v>356</v>
      </c>
    </row>
    <row r="57" spans="1:1" x14ac:dyDescent="0.45">
      <c r="A57" t="s">
        <v>357</v>
      </c>
    </row>
    <row r="58" spans="1:1" x14ac:dyDescent="0.45">
      <c r="A58" t="s">
        <v>358</v>
      </c>
    </row>
    <row r="59" spans="1:1" x14ac:dyDescent="0.45">
      <c r="A59" t="s">
        <v>359</v>
      </c>
    </row>
    <row r="61" spans="1:1" x14ac:dyDescent="0.45">
      <c r="A61" t="s">
        <v>360</v>
      </c>
    </row>
    <row r="62" spans="1:1" x14ac:dyDescent="0.45">
      <c r="A62" t="s">
        <v>361</v>
      </c>
    </row>
    <row r="63" spans="1:1" x14ac:dyDescent="0.45">
      <c r="A63" t="s">
        <v>362</v>
      </c>
    </row>
    <row r="65" spans="1:1" x14ac:dyDescent="0.45">
      <c r="A65" t="s">
        <v>73</v>
      </c>
    </row>
    <row r="66" spans="1:1" x14ac:dyDescent="0.45">
      <c r="A66" t="s">
        <v>74</v>
      </c>
    </row>
    <row r="67" spans="1:1" x14ac:dyDescent="0.45">
      <c r="A67" t="s">
        <v>75</v>
      </c>
    </row>
    <row r="68" spans="1:1" x14ac:dyDescent="0.45">
      <c r="A68" t="s">
        <v>76</v>
      </c>
    </row>
    <row r="69" spans="1:1" x14ac:dyDescent="0.45">
      <c r="A69" t="s">
        <v>77</v>
      </c>
    </row>
    <row r="70" spans="1:1" x14ac:dyDescent="0.45">
      <c r="A70" t="s">
        <v>78</v>
      </c>
    </row>
    <row r="71" spans="1:1" x14ac:dyDescent="0.45">
      <c r="A71" t="s">
        <v>79</v>
      </c>
    </row>
    <row r="72" spans="1:1" x14ac:dyDescent="0.45">
      <c r="A72" t="s">
        <v>80</v>
      </c>
    </row>
    <row r="73" spans="1:1" x14ac:dyDescent="0.45">
      <c r="A73" t="s">
        <v>81</v>
      </c>
    </row>
    <row r="75" spans="1:1" x14ac:dyDescent="0.45">
      <c r="A75" t="s">
        <v>0</v>
      </c>
    </row>
    <row r="76" spans="1:1" x14ac:dyDescent="0.45">
      <c r="A76" t="s">
        <v>82</v>
      </c>
    </row>
    <row r="77" spans="1:1" x14ac:dyDescent="0.45">
      <c r="A77" t="s">
        <v>5</v>
      </c>
    </row>
    <row r="78" spans="1:1" x14ac:dyDescent="0.45">
      <c r="A78" t="s">
        <v>83</v>
      </c>
    </row>
    <row r="79" spans="1:1" x14ac:dyDescent="0.45">
      <c r="A79" t="s">
        <v>84</v>
      </c>
    </row>
    <row r="80" spans="1:1" x14ac:dyDescent="0.45">
      <c r="A80" t="s">
        <v>85</v>
      </c>
    </row>
    <row r="82" spans="1:1" x14ac:dyDescent="0.45">
      <c r="A82" t="s">
        <v>86</v>
      </c>
    </row>
    <row r="83" spans="1:1" x14ac:dyDescent="0.45">
      <c r="A83" t="s">
        <v>87</v>
      </c>
    </row>
    <row r="84" spans="1:1" x14ac:dyDescent="0.45">
      <c r="A84" t="s">
        <v>88</v>
      </c>
    </row>
    <row r="86" spans="1:1" x14ac:dyDescent="0.45">
      <c r="A86" t="s">
        <v>89</v>
      </c>
    </row>
    <row r="87" spans="1:1" x14ac:dyDescent="0.45">
      <c r="A87" t="s">
        <v>90</v>
      </c>
    </row>
    <row r="88" spans="1:1" x14ac:dyDescent="0.45">
      <c r="A88" t="s">
        <v>91</v>
      </c>
    </row>
    <row r="89" spans="1:1" x14ac:dyDescent="0.45">
      <c r="A89" t="s">
        <v>92</v>
      </c>
    </row>
    <row r="90" spans="1:1" x14ac:dyDescent="0.45">
      <c r="A90" t="s">
        <v>93</v>
      </c>
    </row>
    <row r="92" spans="1:1" x14ac:dyDescent="0.45">
      <c r="A92" t="s">
        <v>94</v>
      </c>
    </row>
    <row r="93" spans="1:1" x14ac:dyDescent="0.45">
      <c r="A93" t="s">
        <v>95</v>
      </c>
    </row>
    <row r="94" spans="1:1" x14ac:dyDescent="0.45">
      <c r="A94" t="s">
        <v>96</v>
      </c>
    </row>
    <row r="96" spans="1:1" x14ac:dyDescent="0.45">
      <c r="A96" t="s">
        <v>97</v>
      </c>
    </row>
    <row r="97" spans="1:1" x14ac:dyDescent="0.45">
      <c r="A97" t="s">
        <v>98</v>
      </c>
    </row>
    <row r="98" spans="1:1" x14ac:dyDescent="0.45">
      <c r="A98" t="s">
        <v>99</v>
      </c>
    </row>
    <row r="100" spans="1:1" x14ac:dyDescent="0.45">
      <c r="A100" t="s">
        <v>13</v>
      </c>
    </row>
    <row r="101" spans="1:1" x14ac:dyDescent="0.45">
      <c r="A101"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EEDF-2ADD-4E81-9232-B2A937B32E61}">
  <dimension ref="A2:H98"/>
  <sheetViews>
    <sheetView topLeftCell="A59" zoomScale="70" zoomScaleNormal="70" workbookViewId="0">
      <selection activeCell="B82" sqref="B82"/>
    </sheetView>
  </sheetViews>
  <sheetFormatPr defaultRowHeight="14.25" x14ac:dyDescent="0.45"/>
  <cols>
    <col min="1" max="1" width="6.3984375" customWidth="1"/>
    <col min="2" max="2" width="14.1328125" customWidth="1"/>
    <col min="3" max="4" width="14.6640625" customWidth="1"/>
  </cols>
  <sheetData>
    <row r="2" spans="1:5" ht="18" x14ac:dyDescent="0.55000000000000004">
      <c r="A2" s="1"/>
      <c r="B2" s="5" t="s">
        <v>14</v>
      </c>
      <c r="C2" s="5"/>
      <c r="D2" s="5"/>
    </row>
    <row r="4" spans="1:5" x14ac:dyDescent="0.45">
      <c r="C4" s="4" t="s">
        <v>18</v>
      </c>
      <c r="D4" s="4"/>
      <c r="E4" s="2"/>
    </row>
    <row r="5" spans="1:5" x14ac:dyDescent="0.45">
      <c r="B5" s="3" t="s">
        <v>33</v>
      </c>
      <c r="C5" s="4" t="s">
        <v>17</v>
      </c>
      <c r="D5" s="4" t="s">
        <v>15</v>
      </c>
      <c r="E5" s="4" t="s">
        <v>16</v>
      </c>
    </row>
    <row r="6" spans="1:5" x14ac:dyDescent="0.45">
      <c r="B6" s="2">
        <v>1</v>
      </c>
      <c r="C6" s="2">
        <v>9.7789999999999999</v>
      </c>
      <c r="D6" s="2">
        <v>9.5640000000000001</v>
      </c>
      <c r="E6" s="2">
        <v>10</v>
      </c>
    </row>
    <row r="7" spans="1:5" x14ac:dyDescent="0.45">
      <c r="B7" s="2">
        <v>2</v>
      </c>
      <c r="C7" s="2">
        <v>9.9260000000000002</v>
      </c>
      <c r="D7" s="2">
        <v>10.119999999999999</v>
      </c>
      <c r="E7" s="2">
        <v>10</v>
      </c>
    </row>
    <row r="8" spans="1:5" x14ac:dyDescent="0.45">
      <c r="B8" s="2">
        <v>3</v>
      </c>
      <c r="C8" s="2">
        <v>9.93</v>
      </c>
      <c r="D8" s="2">
        <v>9.9220000000000006</v>
      </c>
      <c r="E8" s="2">
        <v>10</v>
      </c>
    </row>
    <row r="9" spans="1:5" x14ac:dyDescent="0.45">
      <c r="B9" s="2">
        <v>4</v>
      </c>
      <c r="C9" s="2">
        <v>9.8469999999999995</v>
      </c>
      <c r="D9" s="2">
        <v>9.4109999999999996</v>
      </c>
      <c r="E9" s="2">
        <v>10</v>
      </c>
    </row>
    <row r="10" spans="1:5" x14ac:dyDescent="0.45">
      <c r="B10" s="2">
        <v>5</v>
      </c>
      <c r="C10" s="2">
        <v>9.923</v>
      </c>
      <c r="D10" s="2">
        <v>9.641</v>
      </c>
      <c r="E10" s="2">
        <v>10</v>
      </c>
    </row>
    <row r="11" spans="1:5" x14ac:dyDescent="0.45">
      <c r="B11" s="2">
        <v>6</v>
      </c>
      <c r="C11" s="2">
        <v>9.9559999999999995</v>
      </c>
      <c r="D11" s="2">
        <v>10.37</v>
      </c>
      <c r="E11" s="2">
        <v>10</v>
      </c>
    </row>
    <row r="12" spans="1:5" x14ac:dyDescent="0.45">
      <c r="B12" s="2">
        <v>7</v>
      </c>
      <c r="C12" s="2">
        <v>9.9420000000000002</v>
      </c>
      <c r="D12" s="2">
        <v>9.6780000000000008</v>
      </c>
      <c r="E12" s="2">
        <v>10</v>
      </c>
    </row>
    <row r="13" spans="1:5" x14ac:dyDescent="0.45">
      <c r="B13" s="2">
        <v>8</v>
      </c>
      <c r="C13" s="2">
        <v>9.9179999999999993</v>
      </c>
      <c r="D13" s="2">
        <v>10.321</v>
      </c>
      <c r="E13" s="2">
        <v>10</v>
      </c>
    </row>
    <row r="14" spans="1:5" x14ac:dyDescent="0.45">
      <c r="B14" s="2">
        <v>9</v>
      </c>
      <c r="C14" s="2">
        <v>9.9529999999999994</v>
      </c>
      <c r="D14" s="2">
        <v>10.77</v>
      </c>
      <c r="E14" s="2">
        <v>10</v>
      </c>
    </row>
    <row r="15" spans="1:5" x14ac:dyDescent="0.45">
      <c r="B15" s="2">
        <v>10</v>
      </c>
      <c r="C15" s="2">
        <v>9.8469999999999995</v>
      </c>
      <c r="D15" s="2">
        <v>10.263</v>
      </c>
      <c r="E15" s="2">
        <v>10</v>
      </c>
    </row>
    <row r="17" spans="2:8" x14ac:dyDescent="0.45">
      <c r="B17" s="3" t="s">
        <v>210</v>
      </c>
      <c r="C17" s="2" cm="1">
        <f t="array" ref="C17">SUM(C6:C15/10)</f>
        <v>9.902099999999999</v>
      </c>
      <c r="D17" s="2" cm="1">
        <f t="array" ref="D17">SUM(D6:D15/10)</f>
        <v>10.006</v>
      </c>
      <c r="E17">
        <f>D17-C17</f>
        <v>0.10390000000000121</v>
      </c>
    </row>
    <row r="18" spans="2:8" x14ac:dyDescent="0.45">
      <c r="B18" s="4" t="s">
        <v>212</v>
      </c>
      <c r="E18" s="34">
        <f>100*E17</f>
        <v>10.390000000000121</v>
      </c>
    </row>
    <row r="20" spans="2:8" ht="18" x14ac:dyDescent="0.55000000000000004">
      <c r="G20" s="11" t="s">
        <v>21</v>
      </c>
    </row>
    <row r="21" spans="2:8" ht="18.75" x14ac:dyDescent="0.7">
      <c r="G21" s="6" t="s">
        <v>100</v>
      </c>
    </row>
    <row r="22" spans="2:8" ht="15.75" x14ac:dyDescent="0.5">
      <c r="G22" s="7" t="s">
        <v>101</v>
      </c>
    </row>
    <row r="23" spans="2:8" ht="15.75" x14ac:dyDescent="0.5">
      <c r="H23" s="7" t="s">
        <v>19</v>
      </c>
    </row>
    <row r="24" spans="2:8" ht="15.75" x14ac:dyDescent="0.5">
      <c r="G24" s="10" t="s">
        <v>20</v>
      </c>
    </row>
    <row r="26" spans="2:8" s="35" customFormat="1" x14ac:dyDescent="0.45"/>
    <row r="28" spans="2:8" x14ac:dyDescent="0.45">
      <c r="B28" s="3" t="s">
        <v>283</v>
      </c>
      <c r="C28" s="3"/>
    </row>
    <row r="30" spans="2:8" x14ac:dyDescent="0.45">
      <c r="C30" s="4" t="s">
        <v>18</v>
      </c>
      <c r="D30" s="4"/>
      <c r="E30" s="2"/>
    </row>
    <row r="31" spans="2:8" x14ac:dyDescent="0.45">
      <c r="B31" s="3" t="s">
        <v>33</v>
      </c>
      <c r="C31" s="4" t="s">
        <v>17</v>
      </c>
      <c r="D31" s="4" t="s">
        <v>15</v>
      </c>
      <c r="E31" s="4" t="s">
        <v>16</v>
      </c>
    </row>
    <row r="32" spans="2:8" x14ac:dyDescent="0.45">
      <c r="B32" s="2">
        <v>1</v>
      </c>
      <c r="C32" s="2">
        <v>9.8960000000000008</v>
      </c>
      <c r="D32" s="2">
        <v>9.9589999999999996</v>
      </c>
      <c r="E32" s="2">
        <v>10</v>
      </c>
    </row>
    <row r="33" spans="2:7" x14ac:dyDescent="0.45">
      <c r="B33" s="2">
        <v>2</v>
      </c>
      <c r="C33" s="2">
        <v>9.9909999999999997</v>
      </c>
      <c r="D33" s="2">
        <v>10.010999999999999</v>
      </c>
      <c r="E33" s="2">
        <v>10</v>
      </c>
    </row>
    <row r="34" spans="2:7" x14ac:dyDescent="0.45">
      <c r="B34" s="2">
        <v>3</v>
      </c>
      <c r="C34" s="2">
        <v>9.9600000000000009</v>
      </c>
      <c r="D34" s="2">
        <v>9.9209999999999994</v>
      </c>
      <c r="E34" s="2">
        <v>10</v>
      </c>
    </row>
    <row r="35" spans="2:7" x14ac:dyDescent="0.45">
      <c r="B35" s="2">
        <v>4</v>
      </c>
      <c r="C35" s="2">
        <v>9.92</v>
      </c>
      <c r="D35" s="2">
        <v>9.9830000000000005</v>
      </c>
      <c r="E35" s="2">
        <v>10</v>
      </c>
    </row>
    <row r="36" spans="2:7" x14ac:dyDescent="0.45">
      <c r="B36" s="2">
        <v>5</v>
      </c>
      <c r="C36" s="2">
        <v>9.8889999999999993</v>
      </c>
      <c r="D36" s="2">
        <v>9.9009999999999998</v>
      </c>
      <c r="E36" s="2">
        <v>10</v>
      </c>
    </row>
    <row r="37" spans="2:7" x14ac:dyDescent="0.45">
      <c r="B37" s="2">
        <v>6</v>
      </c>
      <c r="C37" s="2">
        <v>9.8190000000000008</v>
      </c>
      <c r="D37" s="2">
        <v>9.9890000000000008</v>
      </c>
      <c r="E37" s="2">
        <v>10</v>
      </c>
    </row>
    <row r="38" spans="2:7" x14ac:dyDescent="0.45">
      <c r="B38" s="2">
        <v>7</v>
      </c>
      <c r="C38" s="2">
        <v>10.013999999999999</v>
      </c>
      <c r="D38" s="2">
        <v>10.083</v>
      </c>
      <c r="E38" s="2">
        <v>10</v>
      </c>
    </row>
    <row r="39" spans="2:7" x14ac:dyDescent="0.45">
      <c r="B39" s="2">
        <v>8</v>
      </c>
      <c r="C39" s="2">
        <v>9.89</v>
      </c>
      <c r="D39" s="2">
        <v>9.968</v>
      </c>
      <c r="E39" s="2">
        <v>10</v>
      </c>
    </row>
    <row r="40" spans="2:7" x14ac:dyDescent="0.45">
      <c r="B40" s="2">
        <v>9</v>
      </c>
      <c r="C40" s="2">
        <v>9.8810000000000002</v>
      </c>
      <c r="D40" s="2">
        <v>9.8940000000000001</v>
      </c>
      <c r="E40" s="2">
        <v>10</v>
      </c>
    </row>
    <row r="41" spans="2:7" x14ac:dyDescent="0.45">
      <c r="B41" s="2">
        <v>10</v>
      </c>
      <c r="C41" s="2">
        <v>9.9649999999999999</v>
      </c>
      <c r="D41" s="2">
        <v>9.8770000000000007</v>
      </c>
      <c r="E41" s="2">
        <v>10</v>
      </c>
    </row>
    <row r="43" spans="2:7" x14ac:dyDescent="0.45">
      <c r="B43" s="3" t="s">
        <v>210</v>
      </c>
      <c r="C43" s="2" cm="1">
        <f t="array" ref="C43">SUM(C32:C41/10)</f>
        <v>9.9224999999999994</v>
      </c>
      <c r="D43" s="2" cm="1">
        <f t="array" ref="D43">SUM(D32:D41/10)</f>
        <v>9.9586000000000006</v>
      </c>
      <c r="E43">
        <f>D43-C43</f>
        <v>3.6100000000001131E-2</v>
      </c>
    </row>
    <row r="44" spans="2:7" x14ac:dyDescent="0.45">
      <c r="B44" s="4" t="s">
        <v>212</v>
      </c>
      <c r="E44" s="33">
        <f>E43*100</f>
        <v>3.6100000000001131</v>
      </c>
    </row>
    <row r="47" spans="2:7" ht="18" x14ac:dyDescent="0.55000000000000004">
      <c r="G47" s="11" t="s">
        <v>21</v>
      </c>
    </row>
    <row r="48" spans="2:7" ht="18.75" x14ac:dyDescent="0.7">
      <c r="G48" s="6" t="s">
        <v>215</v>
      </c>
    </row>
    <row r="49" spans="2:8" ht="15.75" x14ac:dyDescent="0.5">
      <c r="G49" s="7" t="s">
        <v>216</v>
      </c>
    </row>
    <row r="50" spans="2:8" ht="15.75" x14ac:dyDescent="0.5">
      <c r="H50" s="7" t="s">
        <v>19</v>
      </c>
    </row>
    <row r="51" spans="2:8" ht="15.75" x14ac:dyDescent="0.5">
      <c r="G51" s="10" t="s">
        <v>20</v>
      </c>
    </row>
    <row r="53" spans="2:8" ht="16.5" x14ac:dyDescent="0.6">
      <c r="G53" s="30" t="s">
        <v>217</v>
      </c>
    </row>
    <row r="56" spans="2:8" s="35" customFormat="1" x14ac:dyDescent="0.45"/>
    <row r="59" spans="2:8" x14ac:dyDescent="0.45">
      <c r="B59" s="3" t="s">
        <v>284</v>
      </c>
    </row>
    <row r="61" spans="2:8" x14ac:dyDescent="0.45">
      <c r="C61" s="4" t="s">
        <v>18</v>
      </c>
      <c r="D61" s="4"/>
      <c r="E61" s="2"/>
    </row>
    <row r="62" spans="2:8" x14ac:dyDescent="0.45">
      <c r="B62" s="3" t="s">
        <v>33</v>
      </c>
      <c r="C62" s="4" t="s">
        <v>17</v>
      </c>
      <c r="D62" s="4" t="s">
        <v>15</v>
      </c>
      <c r="E62" s="4" t="s">
        <v>16</v>
      </c>
    </row>
    <row r="63" spans="2:8" x14ac:dyDescent="0.45">
      <c r="B63" s="2">
        <v>1</v>
      </c>
      <c r="C63" s="2">
        <v>9.782</v>
      </c>
      <c r="D63" s="2">
        <v>9.9369999999999994</v>
      </c>
      <c r="E63" s="2">
        <v>10</v>
      </c>
    </row>
    <row r="64" spans="2:8" x14ac:dyDescent="0.45">
      <c r="B64" s="2">
        <v>2</v>
      </c>
      <c r="C64" s="2">
        <v>9.9489999999999998</v>
      </c>
      <c r="D64" s="2">
        <v>9.9429999999999996</v>
      </c>
      <c r="E64" s="2">
        <v>10</v>
      </c>
    </row>
    <row r="65" spans="2:5" x14ac:dyDescent="0.45">
      <c r="B65" s="2">
        <v>3</v>
      </c>
      <c r="C65" s="2">
        <v>9.9429999999999996</v>
      </c>
      <c r="D65" s="2">
        <v>10.063000000000001</v>
      </c>
      <c r="E65" s="2">
        <v>10</v>
      </c>
    </row>
    <row r="66" spans="2:5" x14ac:dyDescent="0.45">
      <c r="B66" s="2">
        <v>4</v>
      </c>
      <c r="C66" s="2">
        <v>9.7929999999999993</v>
      </c>
      <c r="D66" s="2">
        <v>9.8699999999999992</v>
      </c>
      <c r="E66" s="2">
        <v>10</v>
      </c>
    </row>
    <row r="67" spans="2:5" x14ac:dyDescent="0.45">
      <c r="B67" s="2">
        <v>5</v>
      </c>
      <c r="C67" s="2">
        <v>9.9380000000000006</v>
      </c>
      <c r="D67" s="2">
        <v>9.7590000000000003</v>
      </c>
      <c r="E67" s="2">
        <v>10</v>
      </c>
    </row>
    <row r="68" spans="2:5" x14ac:dyDescent="0.45">
      <c r="B68" s="2">
        <v>6</v>
      </c>
      <c r="C68" s="2">
        <v>9.8520000000000003</v>
      </c>
      <c r="D68" s="2">
        <v>9.8030000000000008</v>
      </c>
      <c r="E68" s="2">
        <v>10</v>
      </c>
    </row>
    <row r="69" spans="2:5" x14ac:dyDescent="0.45">
      <c r="B69" s="2">
        <v>7</v>
      </c>
      <c r="C69" s="2">
        <v>9.9920000000000009</v>
      </c>
      <c r="D69" s="2">
        <v>9.9740000000000002</v>
      </c>
      <c r="E69" s="2">
        <v>10</v>
      </c>
    </row>
    <row r="70" spans="2:5" x14ac:dyDescent="0.45">
      <c r="B70" s="2">
        <v>8</v>
      </c>
      <c r="C70" s="2">
        <v>9.8770000000000007</v>
      </c>
      <c r="D70" s="2">
        <v>10.01</v>
      </c>
      <c r="E70" s="2">
        <v>10</v>
      </c>
    </row>
    <row r="71" spans="2:5" x14ac:dyDescent="0.45">
      <c r="B71" s="2">
        <v>9</v>
      </c>
      <c r="C71" s="2">
        <v>9.8629999999999995</v>
      </c>
      <c r="D71" s="2">
        <v>9.9209999999999994</v>
      </c>
      <c r="E71" s="2">
        <v>10</v>
      </c>
    </row>
    <row r="72" spans="2:5" x14ac:dyDescent="0.45">
      <c r="B72" s="2">
        <v>10</v>
      </c>
      <c r="C72" s="2">
        <v>9.968</v>
      </c>
      <c r="D72" s="2">
        <v>9.8849999999999998</v>
      </c>
      <c r="E72" s="2">
        <v>10</v>
      </c>
    </row>
    <row r="74" spans="2:5" x14ac:dyDescent="0.45">
      <c r="B74" s="3" t="s">
        <v>210</v>
      </c>
      <c r="C74" s="2" cm="1">
        <f t="array" ref="C74">SUM(C63:C72/10)</f>
        <v>9.8957000000000015</v>
      </c>
      <c r="D74" s="2" cm="1">
        <f t="array" ref="D74">SUM(D63:D72/10)</f>
        <v>9.916500000000001</v>
      </c>
      <c r="E74">
        <f>D74-C74</f>
        <v>2.0799999999999486E-2</v>
      </c>
    </row>
    <row r="75" spans="2:5" x14ac:dyDescent="0.45">
      <c r="B75" s="4" t="s">
        <v>212</v>
      </c>
      <c r="E75" s="33">
        <f>E74*100</f>
        <v>2.0799999999999486</v>
      </c>
    </row>
    <row r="79" spans="2:5" s="35" customFormat="1" x14ac:dyDescent="0.45"/>
    <row r="82" spans="2:5" x14ac:dyDescent="0.45">
      <c r="B82" s="3" t="s">
        <v>363</v>
      </c>
    </row>
    <row r="84" spans="2:5" x14ac:dyDescent="0.45">
      <c r="C84" s="4" t="s">
        <v>18</v>
      </c>
      <c r="D84" s="4"/>
      <c r="E84" s="2"/>
    </row>
    <row r="85" spans="2:5" x14ac:dyDescent="0.45">
      <c r="B85" s="3" t="s">
        <v>33</v>
      </c>
      <c r="C85" s="4" t="s">
        <v>17</v>
      </c>
      <c r="D85" s="4" t="s">
        <v>15</v>
      </c>
      <c r="E85" s="4" t="s">
        <v>16</v>
      </c>
    </row>
    <row r="86" spans="2:5" x14ac:dyDescent="0.45">
      <c r="B86" s="2">
        <v>1</v>
      </c>
      <c r="C86" s="2">
        <v>9.8049999999999997</v>
      </c>
      <c r="D86" s="2">
        <v>9.8840000000000003</v>
      </c>
      <c r="E86" s="2">
        <v>10</v>
      </c>
    </row>
    <row r="87" spans="2:5" x14ac:dyDescent="0.45">
      <c r="B87" s="2">
        <v>2</v>
      </c>
      <c r="C87" s="2">
        <v>9.8030000000000008</v>
      </c>
      <c r="D87" s="2">
        <v>9.8729999999999993</v>
      </c>
      <c r="E87" s="2">
        <v>10</v>
      </c>
    </row>
    <row r="88" spans="2:5" x14ac:dyDescent="0.45">
      <c r="B88" s="2">
        <v>3</v>
      </c>
      <c r="C88" s="2">
        <v>9.8849999999999998</v>
      </c>
      <c r="D88" s="2">
        <v>9.9169999999999998</v>
      </c>
      <c r="E88" s="2">
        <v>10</v>
      </c>
    </row>
    <row r="89" spans="2:5" x14ac:dyDescent="0.45">
      <c r="B89" s="2">
        <v>4</v>
      </c>
      <c r="C89" s="2">
        <v>9.9819999999999993</v>
      </c>
      <c r="D89" s="2">
        <v>9.9440000000000008</v>
      </c>
      <c r="E89" s="2">
        <v>10</v>
      </c>
    </row>
    <row r="90" spans="2:5" x14ac:dyDescent="0.45">
      <c r="B90" s="2">
        <v>5</v>
      </c>
      <c r="C90" s="2">
        <v>10.000999999999999</v>
      </c>
      <c r="D90" s="2">
        <v>9.8439999999999994</v>
      </c>
      <c r="E90" s="2">
        <v>10</v>
      </c>
    </row>
    <row r="91" spans="2:5" x14ac:dyDescent="0.45">
      <c r="B91" s="2">
        <v>6</v>
      </c>
      <c r="C91" s="2">
        <v>10.01</v>
      </c>
      <c r="D91" s="2">
        <v>9.9619999999999997</v>
      </c>
      <c r="E91" s="2">
        <v>10</v>
      </c>
    </row>
    <row r="92" spans="2:5" x14ac:dyDescent="0.45">
      <c r="B92" s="2">
        <v>7</v>
      </c>
      <c r="C92" s="2">
        <v>9.8539999999999992</v>
      </c>
      <c r="D92" s="2">
        <v>9.9079999999999995</v>
      </c>
      <c r="E92" s="2">
        <v>10</v>
      </c>
    </row>
    <row r="93" spans="2:5" x14ac:dyDescent="0.45">
      <c r="B93" s="2">
        <v>8</v>
      </c>
      <c r="C93" s="2">
        <v>9.9440000000000008</v>
      </c>
      <c r="D93" s="2">
        <v>9.9469999999999992</v>
      </c>
      <c r="E93" s="2">
        <v>10</v>
      </c>
    </row>
    <row r="94" spans="2:5" x14ac:dyDescent="0.45">
      <c r="B94" s="2">
        <v>9</v>
      </c>
      <c r="C94" s="2">
        <v>9.9440000000000008</v>
      </c>
      <c r="D94" s="2">
        <v>9.8439999999999994</v>
      </c>
      <c r="E94" s="2">
        <v>10</v>
      </c>
    </row>
    <row r="95" spans="2:5" x14ac:dyDescent="0.45">
      <c r="B95" s="2">
        <v>10</v>
      </c>
      <c r="C95" s="2">
        <v>9.9670000000000005</v>
      </c>
      <c r="D95" s="2">
        <v>10.003</v>
      </c>
      <c r="E95" s="2">
        <v>10</v>
      </c>
    </row>
    <row r="97" spans="2:5" x14ac:dyDescent="0.45">
      <c r="B97" s="3" t="s">
        <v>210</v>
      </c>
      <c r="C97" s="2" cm="1">
        <f t="array" ref="C97">SUM(C86:C95/10)</f>
        <v>9.9194999999999993</v>
      </c>
      <c r="D97" s="2" cm="1">
        <f t="array" ref="D97">SUM(D86:D95/10)</f>
        <v>9.9125999999999994</v>
      </c>
      <c r="E97">
        <f>D97-C97</f>
        <v>-6.8999999999999062E-3</v>
      </c>
    </row>
    <row r="98" spans="2:5" x14ac:dyDescent="0.45">
      <c r="B98" s="4" t="s">
        <v>212</v>
      </c>
      <c r="E98" s="33">
        <f>E97*100</f>
        <v>-0.68999999999999062</v>
      </c>
    </row>
  </sheetData>
  <pageMargins left="0.7" right="0.7" top="0.75" bottom="0.75" header="0.3" footer="0.3"/>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0FA8-A706-4C4C-BC79-A226C7A67C6F}">
  <dimension ref="A2:G149"/>
  <sheetViews>
    <sheetView topLeftCell="A118" zoomScale="85" zoomScaleNormal="85" workbookViewId="0">
      <selection activeCell="R134" sqref="R134"/>
    </sheetView>
  </sheetViews>
  <sheetFormatPr defaultRowHeight="14.25" x14ac:dyDescent="0.45"/>
  <cols>
    <col min="2" max="2" width="23.86328125" customWidth="1"/>
    <col min="3" max="3" width="15.59765625" customWidth="1"/>
    <col min="4" max="4" width="17.73046875" customWidth="1"/>
    <col min="6" max="6" width="10.86328125" customWidth="1"/>
  </cols>
  <sheetData>
    <row r="2" spans="1:5" x14ac:dyDescent="0.45">
      <c r="B2" s="3" t="s">
        <v>22</v>
      </c>
    </row>
    <row r="4" spans="1:5" x14ac:dyDescent="0.45">
      <c r="B4" t="s">
        <v>23</v>
      </c>
    </row>
    <row r="5" spans="1:5" x14ac:dyDescent="0.45">
      <c r="B5" t="s">
        <v>192</v>
      </c>
    </row>
    <row r="6" spans="1:5" x14ac:dyDescent="0.45">
      <c r="B6" t="s">
        <v>193</v>
      </c>
    </row>
    <row r="7" spans="1:5" x14ac:dyDescent="0.45">
      <c r="B7" s="3" t="s">
        <v>24</v>
      </c>
    </row>
    <row r="8" spans="1:5" x14ac:dyDescent="0.45">
      <c r="A8" s="16"/>
      <c r="B8" s="16" t="s">
        <v>25</v>
      </c>
      <c r="C8" s="16"/>
      <c r="D8" s="16"/>
      <c r="E8" s="16"/>
    </row>
    <row r="9" spans="1:5" x14ac:dyDescent="0.45">
      <c r="A9" s="16"/>
      <c r="B9" s="14" t="s">
        <v>26</v>
      </c>
      <c r="C9" s="16"/>
      <c r="D9" s="16"/>
      <c r="E9" s="16"/>
    </row>
    <row r="10" spans="1:5" x14ac:dyDescent="0.45">
      <c r="A10" s="16"/>
      <c r="B10" s="14" t="s">
        <v>27</v>
      </c>
      <c r="C10" s="16"/>
      <c r="D10" s="16"/>
      <c r="E10" s="16"/>
    </row>
    <row r="11" spans="1:5" x14ac:dyDescent="0.45">
      <c r="A11" s="16"/>
      <c r="B11" s="14" t="s">
        <v>28</v>
      </c>
      <c r="C11" s="16"/>
      <c r="D11" s="16"/>
      <c r="E11" s="16"/>
    </row>
    <row r="12" spans="1:5" x14ac:dyDescent="0.45">
      <c r="A12" s="16"/>
      <c r="B12" s="16" t="s">
        <v>29</v>
      </c>
      <c r="C12" s="16"/>
      <c r="D12" s="16"/>
      <c r="E12" s="16"/>
    </row>
    <row r="13" spans="1:5" x14ac:dyDescent="0.45">
      <c r="A13" s="14"/>
      <c r="B13" s="14"/>
      <c r="C13" s="16"/>
      <c r="D13" s="16"/>
      <c r="E13" s="16"/>
    </row>
    <row r="14" spans="1:5" x14ac:dyDescent="0.45">
      <c r="A14" s="16"/>
      <c r="B14" s="14" t="s">
        <v>30</v>
      </c>
      <c r="C14" s="16"/>
      <c r="D14" s="16"/>
      <c r="E14" s="16"/>
    </row>
    <row r="15" spans="1:5" x14ac:dyDescent="0.45">
      <c r="A15" s="16"/>
      <c r="B15" s="14" t="s">
        <v>31</v>
      </c>
      <c r="C15" s="16"/>
      <c r="D15" s="16"/>
      <c r="E15" s="16"/>
    </row>
    <row r="16" spans="1:5" x14ac:dyDescent="0.45">
      <c r="B16" s="13"/>
      <c r="C16" s="2"/>
    </row>
    <row r="17" spans="1:4" x14ac:dyDescent="0.45">
      <c r="B17" t="s">
        <v>32</v>
      </c>
    </row>
    <row r="18" spans="1:4" x14ac:dyDescent="0.45">
      <c r="A18" s="14"/>
      <c r="B18" s="14"/>
    </row>
    <row r="19" spans="1:4" x14ac:dyDescent="0.45">
      <c r="B19" s="13" t="s">
        <v>33</v>
      </c>
      <c r="C19" s="2" t="s">
        <v>34</v>
      </c>
      <c r="D19" s="2" t="s">
        <v>35</v>
      </c>
    </row>
    <row r="20" spans="1:4" x14ac:dyDescent="0.45">
      <c r="B20" s="2">
        <v>1</v>
      </c>
      <c r="C20" s="2">
        <v>0.222</v>
      </c>
      <c r="D20" s="2">
        <v>0.45900000000000002</v>
      </c>
    </row>
    <row r="21" spans="1:4" x14ac:dyDescent="0.45">
      <c r="B21" s="2">
        <v>2</v>
      </c>
      <c r="C21" s="2">
        <v>8.09E-2</v>
      </c>
      <c r="D21" s="2">
        <v>0.2281</v>
      </c>
    </row>
    <row r="22" spans="1:4" x14ac:dyDescent="0.45">
      <c r="B22" s="2">
        <v>3</v>
      </c>
      <c r="C22" s="2">
        <v>7.5300000000000006E-2</v>
      </c>
      <c r="D22" s="2">
        <v>0.23710000000000001</v>
      </c>
    </row>
    <row r="23" spans="1:4" x14ac:dyDescent="0.45">
      <c r="B23" s="2">
        <v>4</v>
      </c>
      <c r="C23" s="2">
        <v>0.155</v>
      </c>
      <c r="D23" s="2">
        <v>0.65480000000000005</v>
      </c>
    </row>
    <row r="24" spans="1:4" x14ac:dyDescent="0.45">
      <c r="B24" s="2">
        <v>5</v>
      </c>
      <c r="C24" s="2">
        <v>8.0799999999999997E-2</v>
      </c>
      <c r="D24" s="2">
        <v>0.37080000000000002</v>
      </c>
    </row>
    <row r="25" spans="1:4" x14ac:dyDescent="0.45">
      <c r="B25" s="2">
        <v>6</v>
      </c>
      <c r="C25" s="2">
        <v>5.0299999999999997E-2</v>
      </c>
      <c r="D25" s="2">
        <v>0.44450000000000001</v>
      </c>
    </row>
    <row r="26" spans="1:4" x14ac:dyDescent="0.45">
      <c r="B26" s="2">
        <v>7</v>
      </c>
      <c r="C26" s="2">
        <v>6.2600000000000003E-2</v>
      </c>
      <c r="D26" s="2">
        <v>0.36780000000000002</v>
      </c>
    </row>
    <row r="27" spans="1:4" x14ac:dyDescent="0.45">
      <c r="B27" s="2">
        <v>8</v>
      </c>
      <c r="C27" s="2">
        <v>8.9200000000000002E-2</v>
      </c>
      <c r="D27" s="2">
        <v>0.38369999999999999</v>
      </c>
    </row>
    <row r="28" spans="1:4" x14ac:dyDescent="0.45">
      <c r="B28" s="2">
        <v>9</v>
      </c>
      <c r="C28" s="2">
        <v>5.5399999999999998E-2</v>
      </c>
      <c r="D28" s="2">
        <v>0.98560000000000003</v>
      </c>
    </row>
    <row r="29" spans="1:4" x14ac:dyDescent="0.45">
      <c r="B29" s="2">
        <v>10</v>
      </c>
      <c r="C29" s="2">
        <v>0.1552</v>
      </c>
      <c r="D29" s="2">
        <v>0.55910000000000004</v>
      </c>
    </row>
    <row r="31" spans="1:4" x14ac:dyDescent="0.45">
      <c r="B31" s="3" t="s">
        <v>36</v>
      </c>
      <c r="C31" s="2" cm="1">
        <f t="array" ref="C31">SUM(Table9[[PX4 RMSE ]]/10)</f>
        <v>0.10267</v>
      </c>
      <c r="D31" s="2" cm="1">
        <f t="array" ref="D31">SUM(Table9[BC Policy RMSE]/10)</f>
        <v>0.46905000000000008</v>
      </c>
    </row>
    <row r="32" spans="1:4" x14ac:dyDescent="0.45">
      <c r="B32" s="4" t="s">
        <v>211</v>
      </c>
      <c r="D32" s="2">
        <f>D31-C31</f>
        <v>0.36638000000000009</v>
      </c>
    </row>
    <row r="33" spans="2:7" x14ac:dyDescent="0.45">
      <c r="B33" s="4" t="s">
        <v>213</v>
      </c>
      <c r="D33" s="31">
        <f>D32*100</f>
        <v>36.638000000000012</v>
      </c>
    </row>
    <row r="35" spans="2:7" x14ac:dyDescent="0.45">
      <c r="B35" s="3" t="s">
        <v>323</v>
      </c>
      <c r="C35" s="3" t="s">
        <v>329</v>
      </c>
    </row>
    <row r="36" spans="2:7" x14ac:dyDescent="0.45">
      <c r="B36" t="s">
        <v>324</v>
      </c>
      <c r="C36" s="2">
        <f>C31</f>
        <v>0.10267</v>
      </c>
    </row>
    <row r="37" spans="2:7" x14ac:dyDescent="0.45">
      <c r="B37" t="s">
        <v>325</v>
      </c>
      <c r="C37" s="2">
        <f>D31</f>
        <v>0.46905000000000008</v>
      </c>
      <c r="F37" s="17" t="s">
        <v>21</v>
      </c>
    </row>
    <row r="38" spans="2:7" x14ac:dyDescent="0.45">
      <c r="C38" s="2"/>
      <c r="F38" t="s">
        <v>37</v>
      </c>
      <c r="G38" t="s">
        <v>38</v>
      </c>
    </row>
    <row r="39" spans="2:7" x14ac:dyDescent="0.45">
      <c r="B39" t="s">
        <v>326</v>
      </c>
      <c r="C39" s="2">
        <f>C37-C36</f>
        <v>0.36638000000000009</v>
      </c>
      <c r="G39" t="s">
        <v>102</v>
      </c>
    </row>
    <row r="40" spans="2:7" x14ac:dyDescent="0.45">
      <c r="B40" t="s">
        <v>327</v>
      </c>
      <c r="C40" s="2">
        <f>D32/C36</f>
        <v>3.568520502581086</v>
      </c>
      <c r="G40">
        <f>(D31/C31)</f>
        <v>4.5685205025810856</v>
      </c>
    </row>
    <row r="41" spans="2:7" x14ac:dyDescent="0.45">
      <c r="B41" t="s">
        <v>330</v>
      </c>
      <c r="C41" s="40">
        <f>100 * (1-C40)</f>
        <v>-256.85205025810859</v>
      </c>
    </row>
    <row r="42" spans="2:7" x14ac:dyDescent="0.45">
      <c r="F42" t="s">
        <v>103</v>
      </c>
    </row>
    <row r="43" spans="2:7" x14ac:dyDescent="0.45">
      <c r="F43" t="s">
        <v>131</v>
      </c>
    </row>
    <row r="44" spans="2:7" x14ac:dyDescent="0.45">
      <c r="F44" t="s">
        <v>132</v>
      </c>
    </row>
    <row r="46" spans="2:7" x14ac:dyDescent="0.45">
      <c r="F46" t="s">
        <v>194</v>
      </c>
    </row>
    <row r="47" spans="2:7" x14ac:dyDescent="0.45">
      <c r="F47" t="s">
        <v>195</v>
      </c>
    </row>
    <row r="49" spans="2:4" s="35" customFormat="1" x14ac:dyDescent="0.45"/>
    <row r="50" spans="2:4" x14ac:dyDescent="0.45">
      <c r="B50" s="3"/>
      <c r="C50" s="3"/>
    </row>
    <row r="51" spans="2:4" x14ac:dyDescent="0.45">
      <c r="B51" s="3" t="s">
        <v>283</v>
      </c>
      <c r="C51" s="3"/>
    </row>
    <row r="53" spans="2:4" x14ac:dyDescent="0.45">
      <c r="B53" s="13" t="s">
        <v>33</v>
      </c>
      <c r="C53" s="2" t="s">
        <v>34</v>
      </c>
      <c r="D53" s="2" t="s">
        <v>35</v>
      </c>
    </row>
    <row r="54" spans="2:4" x14ac:dyDescent="0.45">
      <c r="B54" s="2">
        <v>1</v>
      </c>
      <c r="C54" s="2">
        <v>0.1113</v>
      </c>
      <c r="D54" s="2">
        <v>7.22E-2</v>
      </c>
    </row>
    <row r="55" spans="2:4" x14ac:dyDescent="0.45">
      <c r="B55" s="2">
        <v>2</v>
      </c>
      <c r="C55" s="2">
        <v>1.8499999999999999E-2</v>
      </c>
      <c r="D55" s="2">
        <v>6.6000000000000003E-2</v>
      </c>
    </row>
    <row r="56" spans="2:4" x14ac:dyDescent="0.45">
      <c r="B56" s="2">
        <v>3</v>
      </c>
      <c r="C56" s="2">
        <v>5.1999999999999998E-2</v>
      </c>
      <c r="D56" s="2">
        <v>0.12230000000000001</v>
      </c>
    </row>
    <row r="57" spans="2:4" x14ac:dyDescent="0.45">
      <c r="B57" s="2">
        <v>4</v>
      </c>
      <c r="C57" s="2">
        <v>8.09E-2</v>
      </c>
      <c r="D57" s="2">
        <v>4.6199999999999998E-2</v>
      </c>
    </row>
    <row r="58" spans="2:4" x14ac:dyDescent="0.45">
      <c r="B58" s="2">
        <v>5</v>
      </c>
      <c r="C58" s="2">
        <v>0.1134</v>
      </c>
      <c r="D58" s="2">
        <v>0.16070000000000001</v>
      </c>
    </row>
    <row r="59" spans="2:4" x14ac:dyDescent="0.45">
      <c r="B59" s="2">
        <v>6</v>
      </c>
      <c r="C59" s="2">
        <v>0.1837</v>
      </c>
      <c r="D59" s="2">
        <v>6.3899999999999998E-2</v>
      </c>
    </row>
    <row r="60" spans="2:4" x14ac:dyDescent="0.45">
      <c r="B60" s="2">
        <v>7</v>
      </c>
      <c r="C60" s="2">
        <v>3.8199999999999998E-2</v>
      </c>
      <c r="D60" s="2">
        <v>9.5899999999999999E-2</v>
      </c>
    </row>
    <row r="61" spans="2:4" x14ac:dyDescent="0.45">
      <c r="B61" s="2">
        <v>8</v>
      </c>
      <c r="C61" s="2">
        <v>0.1108</v>
      </c>
      <c r="D61" s="2">
        <v>6.7799999999999999E-2</v>
      </c>
    </row>
    <row r="62" spans="2:4" x14ac:dyDescent="0.45">
      <c r="B62" s="2">
        <v>9</v>
      </c>
      <c r="C62" s="2">
        <v>0.1197</v>
      </c>
      <c r="D62" s="2">
        <v>0.1244</v>
      </c>
    </row>
    <row r="63" spans="2:4" x14ac:dyDescent="0.45">
      <c r="B63" s="2">
        <v>10</v>
      </c>
      <c r="C63" s="2">
        <v>4.1300000000000003E-2</v>
      </c>
      <c r="D63" s="2">
        <v>0.14330000000000001</v>
      </c>
    </row>
    <row r="65" spans="2:7" x14ac:dyDescent="0.45">
      <c r="B65" s="3" t="s">
        <v>36</v>
      </c>
      <c r="C65" s="2" cm="1">
        <f t="array" ref="C65">SUM(Table934[[PX4 RMSE ]]/10)</f>
        <v>8.6979999999999988E-2</v>
      </c>
      <c r="D65" s="2" cm="1">
        <f t="array" ref="D65">SUM(Table934[BC Policy RMSE]/10)</f>
        <v>9.6269999999999981E-2</v>
      </c>
    </row>
    <row r="66" spans="2:7" x14ac:dyDescent="0.45">
      <c r="B66" s="4" t="s">
        <v>211</v>
      </c>
      <c r="D66" s="2">
        <f>D65-C65</f>
        <v>9.2899999999999927E-3</v>
      </c>
    </row>
    <row r="67" spans="2:7" x14ac:dyDescent="0.45">
      <c r="B67" s="4" t="s">
        <v>213</v>
      </c>
      <c r="D67" s="32">
        <f>100*D66</f>
        <v>0.92899999999999927</v>
      </c>
    </row>
    <row r="69" spans="2:7" x14ac:dyDescent="0.45">
      <c r="B69" s="3" t="s">
        <v>323</v>
      </c>
      <c r="C69" s="3" t="s">
        <v>329</v>
      </c>
      <c r="F69" s="17" t="s">
        <v>21</v>
      </c>
    </row>
    <row r="70" spans="2:7" x14ac:dyDescent="0.45">
      <c r="B70" t="s">
        <v>324</v>
      </c>
      <c r="C70" s="2">
        <f>C65</f>
        <v>8.6979999999999988E-2</v>
      </c>
      <c r="F70" t="s">
        <v>37</v>
      </c>
      <c r="G70" t="s">
        <v>317</v>
      </c>
    </row>
    <row r="71" spans="2:7" x14ac:dyDescent="0.45">
      <c r="B71" t="s">
        <v>325</v>
      </c>
      <c r="C71" s="2">
        <f>D65</f>
        <v>9.6269999999999981E-2</v>
      </c>
      <c r="G71" t="s">
        <v>318</v>
      </c>
    </row>
    <row r="72" spans="2:7" x14ac:dyDescent="0.45">
      <c r="C72" s="2"/>
      <c r="G72">
        <f>D65/C65</f>
        <v>1.1068061623361691</v>
      </c>
    </row>
    <row r="73" spans="2:7" x14ac:dyDescent="0.45">
      <c r="B73" t="s">
        <v>326</v>
      </c>
      <c r="C73" s="2">
        <f>C71-C70</f>
        <v>9.2899999999999927E-3</v>
      </c>
    </row>
    <row r="74" spans="2:7" x14ac:dyDescent="0.45">
      <c r="B74" t="s">
        <v>327</v>
      </c>
      <c r="C74" s="2">
        <f>C73/C70</f>
        <v>0.10680616233616917</v>
      </c>
      <c r="F74" t="s">
        <v>319</v>
      </c>
    </row>
    <row r="75" spans="2:7" ht="16.5" x14ac:dyDescent="0.6">
      <c r="B75" t="s">
        <v>330</v>
      </c>
      <c r="C75" s="2">
        <f>100 * (1-C74)</f>
        <v>89.319383766383083</v>
      </c>
      <c r="F75" s="30" t="s">
        <v>209</v>
      </c>
    </row>
    <row r="76" spans="2:7" x14ac:dyDescent="0.45">
      <c r="F76" t="s">
        <v>214</v>
      </c>
    </row>
    <row r="78" spans="2:7" x14ac:dyDescent="0.45">
      <c r="F78" t="s">
        <v>194</v>
      </c>
    </row>
    <row r="79" spans="2:7" x14ac:dyDescent="0.45">
      <c r="F79" t="s">
        <v>207</v>
      </c>
    </row>
    <row r="82" spans="2:6" ht="17.649999999999999" x14ac:dyDescent="0.45">
      <c r="F82" s="36" t="s">
        <v>242</v>
      </c>
    </row>
    <row r="84" spans="2:6" x14ac:dyDescent="0.45">
      <c r="F84" t="s">
        <v>239</v>
      </c>
    </row>
    <row r="86" spans="2:6" x14ac:dyDescent="0.45">
      <c r="F86" s="3" t="s">
        <v>243</v>
      </c>
    </row>
    <row r="87" spans="2:6" x14ac:dyDescent="0.45">
      <c r="F87" t="s">
        <v>244</v>
      </c>
    </row>
    <row r="89" spans="2:6" x14ac:dyDescent="0.45">
      <c r="F89" s="3" t="s">
        <v>240</v>
      </c>
    </row>
    <row r="91" spans="2:6" x14ac:dyDescent="0.45">
      <c r="F91" s="3" t="s">
        <v>241</v>
      </c>
    </row>
    <row r="93" spans="2:6" s="35" customFormat="1" x14ac:dyDescent="0.45"/>
    <row r="95" spans="2:6" x14ac:dyDescent="0.45">
      <c r="B95" s="3" t="s">
        <v>284</v>
      </c>
    </row>
    <row r="97" spans="2:4" x14ac:dyDescent="0.45">
      <c r="B97" s="13" t="s">
        <v>33</v>
      </c>
      <c r="C97" s="2" t="s">
        <v>34</v>
      </c>
      <c r="D97" s="2" t="s">
        <v>35</v>
      </c>
    </row>
    <row r="98" spans="2:4" x14ac:dyDescent="0.45">
      <c r="B98" s="2">
        <v>1</v>
      </c>
      <c r="C98" s="2">
        <v>0.2331</v>
      </c>
      <c r="D98" s="2">
        <v>9.74E-2</v>
      </c>
    </row>
    <row r="99" spans="2:4" x14ac:dyDescent="0.45">
      <c r="B99" s="2">
        <v>2</v>
      </c>
      <c r="C99" s="2">
        <v>5.3600000000000002E-2</v>
      </c>
      <c r="D99" s="2">
        <v>0.16919999999999999</v>
      </c>
    </row>
    <row r="100" spans="2:4" x14ac:dyDescent="0.45">
      <c r="B100" s="2">
        <v>3</v>
      </c>
      <c r="C100" s="2">
        <v>5.7799999999999997E-2</v>
      </c>
      <c r="D100" s="2">
        <v>0.12330000000000001</v>
      </c>
    </row>
    <row r="101" spans="2:4" x14ac:dyDescent="0.45">
      <c r="B101" s="2">
        <v>4</v>
      </c>
      <c r="C101" s="2">
        <v>0.21079999999999999</v>
      </c>
      <c r="D101" s="2">
        <v>0.1356</v>
      </c>
    </row>
    <row r="102" spans="2:4" x14ac:dyDescent="0.45">
      <c r="B102" s="2">
        <v>5</v>
      </c>
      <c r="C102" s="2">
        <v>6.9000000000000006E-2</v>
      </c>
      <c r="D102" s="2">
        <v>0.2465</v>
      </c>
    </row>
    <row r="103" spans="2:4" x14ac:dyDescent="0.45">
      <c r="B103" s="2">
        <v>6</v>
      </c>
      <c r="C103" s="2">
        <v>0.14949999999999999</v>
      </c>
      <c r="D103" s="2">
        <v>0.2145</v>
      </c>
    </row>
    <row r="104" spans="2:4" x14ac:dyDescent="0.45">
      <c r="B104" s="2">
        <v>7</v>
      </c>
      <c r="C104" s="2">
        <v>2.2700000000000001E-2</v>
      </c>
      <c r="D104" s="2">
        <v>0.12690000000000001</v>
      </c>
    </row>
    <row r="105" spans="2:4" x14ac:dyDescent="0.45">
      <c r="B105" s="2">
        <v>8</v>
      </c>
      <c r="C105" s="2">
        <v>0.13469999999999999</v>
      </c>
      <c r="D105" s="2">
        <v>7.2499999999999995E-2</v>
      </c>
    </row>
    <row r="106" spans="2:4" x14ac:dyDescent="0.45">
      <c r="B106" s="2">
        <v>9</v>
      </c>
      <c r="C106" s="2">
        <v>0.13930000000000001</v>
      </c>
      <c r="D106" s="2">
        <v>0.11890000000000001</v>
      </c>
    </row>
    <row r="107" spans="2:4" x14ac:dyDescent="0.45">
      <c r="B107" s="2">
        <v>10</v>
      </c>
      <c r="C107" s="2">
        <v>3.4500000000000003E-2</v>
      </c>
      <c r="D107" s="2">
        <v>0.13539999999999999</v>
      </c>
    </row>
    <row r="109" spans="2:4" x14ac:dyDescent="0.45">
      <c r="B109" s="3" t="s">
        <v>36</v>
      </c>
      <c r="C109" s="2" cm="1">
        <f t="array" ref="C109">SUM(Table9343[[PX4 RMSE ]]/10)</f>
        <v>0.11049999999999999</v>
      </c>
      <c r="D109" s="2" cm="1">
        <f t="array" ref="D109">SUM(Table9343[BC Policy RMSE]/10)</f>
        <v>0.14402000000000001</v>
      </c>
    </row>
    <row r="110" spans="2:4" x14ac:dyDescent="0.45">
      <c r="B110" s="4" t="s">
        <v>211</v>
      </c>
      <c r="D110" s="2">
        <f>D109-C109</f>
        <v>3.3520000000000022E-2</v>
      </c>
    </row>
    <row r="111" spans="2:4" x14ac:dyDescent="0.45">
      <c r="B111" s="4" t="s">
        <v>213</v>
      </c>
      <c r="D111" s="32">
        <f>100*D110</f>
        <v>3.3520000000000021</v>
      </c>
    </row>
    <row r="113" spans="2:7" x14ac:dyDescent="0.45">
      <c r="B113" s="3" t="s">
        <v>323</v>
      </c>
      <c r="C113" s="3" t="s">
        <v>329</v>
      </c>
      <c r="F113" s="17" t="s">
        <v>21</v>
      </c>
    </row>
    <row r="114" spans="2:7" x14ac:dyDescent="0.45">
      <c r="B114" t="s">
        <v>324</v>
      </c>
      <c r="C114" s="2">
        <v>0.1105</v>
      </c>
      <c r="F114" t="s">
        <v>37</v>
      </c>
      <c r="G114" t="s">
        <v>320</v>
      </c>
    </row>
    <row r="115" spans="2:7" x14ac:dyDescent="0.45">
      <c r="B115" t="s">
        <v>325</v>
      </c>
      <c r="C115" s="2">
        <v>0.14399999999999999</v>
      </c>
      <c r="G115" t="s">
        <v>321</v>
      </c>
    </row>
    <row r="116" spans="2:7" x14ac:dyDescent="0.45">
      <c r="C116" s="2"/>
      <c r="G116">
        <f>D109/C109</f>
        <v>1.303348416289593</v>
      </c>
    </row>
    <row r="117" spans="2:7" x14ac:dyDescent="0.45">
      <c r="B117" t="s">
        <v>326</v>
      </c>
      <c r="C117" s="2">
        <f>C115-C114</f>
        <v>3.3499999999999988E-2</v>
      </c>
    </row>
    <row r="118" spans="2:7" x14ac:dyDescent="0.45">
      <c r="B118" t="s">
        <v>327</v>
      </c>
      <c r="C118" s="2">
        <f>C117/C114</f>
        <v>0.3031674208144795</v>
      </c>
      <c r="F118" t="s">
        <v>322</v>
      </c>
    </row>
    <row r="119" spans="2:7" ht="16.5" x14ac:dyDescent="0.6">
      <c r="B119" t="s">
        <v>330</v>
      </c>
      <c r="C119" s="2">
        <f>100 * (1-C118)</f>
        <v>69.683257918552059</v>
      </c>
      <c r="F119" s="30" t="s">
        <v>328</v>
      </c>
    </row>
    <row r="122" spans="2:7" s="35" customFormat="1" x14ac:dyDescent="0.45"/>
    <row r="124" spans="2:7" x14ac:dyDescent="0.45">
      <c r="B124" s="3" t="s">
        <v>363</v>
      </c>
    </row>
    <row r="126" spans="2:7" x14ac:dyDescent="0.45">
      <c r="B126" s="13" t="s">
        <v>33</v>
      </c>
      <c r="C126" s="2" t="s">
        <v>34</v>
      </c>
      <c r="D126" s="2" t="s">
        <v>35</v>
      </c>
    </row>
    <row r="127" spans="2:7" x14ac:dyDescent="0.45">
      <c r="B127" s="2">
        <v>1</v>
      </c>
      <c r="C127" s="2">
        <v>0.1968</v>
      </c>
      <c r="D127" s="2">
        <v>0.17219999999999999</v>
      </c>
    </row>
    <row r="128" spans="2:7" x14ac:dyDescent="0.45">
      <c r="B128" s="2">
        <v>2</v>
      </c>
      <c r="C128" s="2">
        <v>0.19989999999999999</v>
      </c>
      <c r="D128" s="2">
        <v>0.13220000000000001</v>
      </c>
    </row>
    <row r="129" spans="2:7" x14ac:dyDescent="0.45">
      <c r="B129" s="2">
        <v>3</v>
      </c>
      <c r="C129" s="2">
        <v>0.1153</v>
      </c>
      <c r="D129" s="2">
        <v>8.7999999999999995E-2</v>
      </c>
    </row>
    <row r="130" spans="2:7" x14ac:dyDescent="0.45">
      <c r="B130" s="2">
        <v>4</v>
      </c>
      <c r="C130" s="2">
        <v>2.5000000000000001E-2</v>
      </c>
      <c r="D130" s="2">
        <v>8.0699999999999994E-2</v>
      </c>
    </row>
    <row r="131" spans="2:7" x14ac:dyDescent="0.45">
      <c r="B131" s="2">
        <v>5</v>
      </c>
      <c r="C131" s="2">
        <v>4.1500000000000002E-2</v>
      </c>
      <c r="D131" s="2">
        <v>0.16400000000000001</v>
      </c>
    </row>
    <row r="132" spans="2:7" x14ac:dyDescent="0.45">
      <c r="B132" s="2">
        <v>6</v>
      </c>
      <c r="C132" s="2">
        <v>2.3699999999999999E-2</v>
      </c>
      <c r="D132" s="2">
        <v>6.2100000000000002E-2</v>
      </c>
    </row>
    <row r="133" spans="2:7" x14ac:dyDescent="0.45">
      <c r="B133" s="2">
        <v>7</v>
      </c>
      <c r="C133" s="2">
        <v>0.15440000000000001</v>
      </c>
      <c r="D133" s="2">
        <v>0.1201</v>
      </c>
    </row>
    <row r="134" spans="2:7" x14ac:dyDescent="0.45">
      <c r="B134" s="2">
        <v>8</v>
      </c>
      <c r="C134" s="2">
        <v>5.8000000000000003E-2</v>
      </c>
      <c r="D134" s="2">
        <v>5.8099999999999999E-2</v>
      </c>
    </row>
    <row r="135" spans="2:7" x14ac:dyDescent="0.45">
      <c r="B135" s="2">
        <v>9</v>
      </c>
      <c r="C135" s="2">
        <v>5.9499999999999997E-2</v>
      </c>
      <c r="D135" s="2">
        <v>0.1598</v>
      </c>
    </row>
    <row r="136" spans="2:7" x14ac:dyDescent="0.45">
      <c r="B136" s="2">
        <v>10</v>
      </c>
      <c r="C136" s="2">
        <v>4.4699999999999997E-2</v>
      </c>
      <c r="D136" s="2">
        <v>5.1799999999999999E-2</v>
      </c>
    </row>
    <row r="138" spans="2:7" x14ac:dyDescent="0.45">
      <c r="B138" s="3" t="s">
        <v>36</v>
      </c>
      <c r="C138" s="2" cm="1">
        <f t="array" ref="C138">SUM(Table934316[[PX4 RMSE ]]/10)</f>
        <v>9.1879999999999989E-2</v>
      </c>
      <c r="D138" s="2" cm="1">
        <f t="array" ref="D138">SUM(Table934316[BC Policy RMSE]/10)</f>
        <v>0.10890000000000001</v>
      </c>
    </row>
    <row r="139" spans="2:7" x14ac:dyDescent="0.45">
      <c r="B139" s="4" t="s">
        <v>211</v>
      </c>
      <c r="D139" s="2">
        <f>D138-C138</f>
        <v>1.7020000000000021E-2</v>
      </c>
    </row>
    <row r="140" spans="2:7" x14ac:dyDescent="0.45">
      <c r="B140" s="4" t="s">
        <v>213</v>
      </c>
      <c r="D140" s="32">
        <f>100*D139</f>
        <v>1.7020000000000022</v>
      </c>
    </row>
    <row r="142" spans="2:7" x14ac:dyDescent="0.45">
      <c r="B142" s="3" t="s">
        <v>323</v>
      </c>
      <c r="C142" s="3" t="s">
        <v>329</v>
      </c>
    </row>
    <row r="143" spans="2:7" x14ac:dyDescent="0.45">
      <c r="B143" t="s">
        <v>324</v>
      </c>
      <c r="C143" s="2">
        <f>C138</f>
        <v>9.1879999999999989E-2</v>
      </c>
      <c r="F143" s="17" t="s">
        <v>21</v>
      </c>
    </row>
    <row r="144" spans="2:7" x14ac:dyDescent="0.45">
      <c r="B144" t="s">
        <v>325</v>
      </c>
      <c r="C144" s="2">
        <f>D138</f>
        <v>0.10890000000000001</v>
      </c>
      <c r="F144" t="s">
        <v>37</v>
      </c>
      <c r="G144" t="s">
        <v>364</v>
      </c>
    </row>
    <row r="145" spans="2:7" x14ac:dyDescent="0.45">
      <c r="C145" s="2"/>
      <c r="G145" t="s">
        <v>365</v>
      </c>
    </row>
    <row r="146" spans="2:7" x14ac:dyDescent="0.45">
      <c r="B146" t="s">
        <v>326</v>
      </c>
      <c r="C146" s="2">
        <f>C144-C143</f>
        <v>1.7020000000000021E-2</v>
      </c>
      <c r="G146">
        <f>D138/C138</f>
        <v>1.1852416195037008</v>
      </c>
    </row>
    <row r="147" spans="2:7" x14ac:dyDescent="0.45">
      <c r="B147" t="s">
        <v>327</v>
      </c>
      <c r="C147" s="2">
        <f>C146/C143</f>
        <v>0.18524161950370074</v>
      </c>
    </row>
    <row r="148" spans="2:7" x14ac:dyDescent="0.45">
      <c r="B148" t="s">
        <v>330</v>
      </c>
      <c r="C148" s="2">
        <f>100 * (1-C147)</f>
        <v>81.475838049629928</v>
      </c>
      <c r="F148" t="s">
        <v>366</v>
      </c>
    </row>
    <row r="149" spans="2:7" ht="16.5" x14ac:dyDescent="0.6">
      <c r="F149" s="30" t="s">
        <v>367</v>
      </c>
    </row>
  </sheetData>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ACE6-4C8C-4A25-AB1D-CDFC60976FB4}">
  <dimension ref="B2:F113"/>
  <sheetViews>
    <sheetView tabSelected="1" topLeftCell="A37" zoomScale="85" zoomScaleNormal="85" workbookViewId="0">
      <selection activeCell="K119" sqref="K119:K120"/>
    </sheetView>
  </sheetViews>
  <sheetFormatPr defaultRowHeight="14.25" x14ac:dyDescent="0.45"/>
  <cols>
    <col min="2" max="2" width="24.86328125" customWidth="1"/>
    <col min="3" max="3" width="17.6640625" customWidth="1"/>
    <col min="4" max="4" width="20.1328125" customWidth="1"/>
  </cols>
  <sheetData>
    <row r="2" spans="2:3" x14ac:dyDescent="0.45">
      <c r="B2" s="3" t="s">
        <v>104</v>
      </c>
    </row>
    <row r="4" spans="2:3" x14ac:dyDescent="0.45">
      <c r="B4" t="s">
        <v>105</v>
      </c>
    </row>
    <row r="5" spans="2:3" x14ac:dyDescent="0.45">
      <c r="B5" t="s">
        <v>106</v>
      </c>
    </row>
    <row r="7" spans="2:3" x14ac:dyDescent="0.45">
      <c r="B7" s="18" t="s">
        <v>110</v>
      </c>
      <c r="C7" t="s">
        <v>111</v>
      </c>
    </row>
    <row r="8" spans="2:3" x14ac:dyDescent="0.45">
      <c r="B8" s="18" t="s">
        <v>112</v>
      </c>
      <c r="C8" t="s">
        <v>113</v>
      </c>
    </row>
    <row r="9" spans="2:3" x14ac:dyDescent="0.45">
      <c r="B9" s="15"/>
    </row>
    <row r="10" spans="2:3" x14ac:dyDescent="0.45">
      <c r="B10" s="18" t="s">
        <v>107</v>
      </c>
    </row>
    <row r="11" spans="2:3" x14ac:dyDescent="0.45">
      <c r="B11" s="18" t="s">
        <v>116</v>
      </c>
      <c r="C11" t="s">
        <v>127</v>
      </c>
    </row>
    <row r="13" spans="2:3" x14ac:dyDescent="0.45">
      <c r="B13" t="s">
        <v>108</v>
      </c>
    </row>
    <row r="14" spans="2:3" x14ac:dyDescent="0.45">
      <c r="B14" s="18" t="s">
        <v>115</v>
      </c>
      <c r="C14" t="s">
        <v>114</v>
      </c>
    </row>
    <row r="15" spans="2:3" x14ac:dyDescent="0.45">
      <c r="B15" s="18" t="s">
        <v>116</v>
      </c>
      <c r="C15" t="s">
        <v>117</v>
      </c>
    </row>
    <row r="16" spans="2:3" x14ac:dyDescent="0.45">
      <c r="B16" s="18"/>
    </row>
    <row r="17" spans="2:4" x14ac:dyDescent="0.45">
      <c r="B17" s="18" t="s">
        <v>118</v>
      </c>
      <c r="C17" t="s">
        <v>119</v>
      </c>
    </row>
    <row r="18" spans="2:4" x14ac:dyDescent="0.45">
      <c r="B18" s="18" t="s">
        <v>116</v>
      </c>
      <c r="C18" t="s">
        <v>120</v>
      </c>
    </row>
    <row r="20" spans="2:4" x14ac:dyDescent="0.45">
      <c r="B20" t="s">
        <v>109</v>
      </c>
    </row>
    <row r="22" spans="2:4" x14ac:dyDescent="0.45">
      <c r="B22" s="13" t="s">
        <v>33</v>
      </c>
      <c r="C22" s="2" t="s">
        <v>121</v>
      </c>
      <c r="D22" s="2" t="s">
        <v>122</v>
      </c>
    </row>
    <row r="23" spans="2:4" x14ac:dyDescent="0.45">
      <c r="B23" s="2">
        <v>1</v>
      </c>
      <c r="C23" s="2">
        <v>1.93</v>
      </c>
      <c r="D23" s="2">
        <v>1.893</v>
      </c>
    </row>
    <row r="24" spans="2:4" x14ac:dyDescent="0.45">
      <c r="B24" s="2">
        <v>2</v>
      </c>
      <c r="C24" s="2">
        <v>1.0640000000000001</v>
      </c>
      <c r="D24" s="2">
        <v>1.506</v>
      </c>
    </row>
    <row r="25" spans="2:4" x14ac:dyDescent="0.45">
      <c r="B25" s="2">
        <v>3</v>
      </c>
      <c r="C25" s="2">
        <v>1.976</v>
      </c>
      <c r="D25" s="2">
        <v>1.9990000000000001</v>
      </c>
    </row>
    <row r="26" spans="2:4" x14ac:dyDescent="0.45">
      <c r="B26" s="2">
        <v>4</v>
      </c>
      <c r="C26" s="2">
        <v>2.3250000000000002</v>
      </c>
      <c r="D26" s="2">
        <v>2.3570000000000002</v>
      </c>
    </row>
    <row r="27" spans="2:4" x14ac:dyDescent="0.45">
      <c r="B27" s="2">
        <v>5</v>
      </c>
      <c r="C27" s="2">
        <v>0.95399999999999996</v>
      </c>
      <c r="D27" s="2">
        <v>1.087</v>
      </c>
    </row>
    <row r="28" spans="2:4" x14ac:dyDescent="0.45">
      <c r="B28" s="2">
        <v>6</v>
      </c>
      <c r="C28" s="2">
        <v>2.7229999999999999</v>
      </c>
      <c r="D28" s="2">
        <v>2.7829999999999999</v>
      </c>
    </row>
    <row r="29" spans="2:4" x14ac:dyDescent="0.45">
      <c r="B29" s="2">
        <v>7</v>
      </c>
      <c r="C29" s="2">
        <v>1.899</v>
      </c>
      <c r="D29" s="2">
        <v>1.839</v>
      </c>
    </row>
    <row r="30" spans="2:4" x14ac:dyDescent="0.45">
      <c r="B30" s="2">
        <v>8</v>
      </c>
      <c r="C30" s="2">
        <v>1.87</v>
      </c>
      <c r="D30" s="2">
        <v>2.3010000000000002</v>
      </c>
    </row>
    <row r="31" spans="2:4" x14ac:dyDescent="0.45">
      <c r="B31" s="2">
        <v>9</v>
      </c>
      <c r="C31" s="2">
        <v>0.83599999999999997</v>
      </c>
      <c r="D31" s="2">
        <v>0.84299999999999997</v>
      </c>
    </row>
    <row r="32" spans="2:4" x14ac:dyDescent="0.45">
      <c r="B32" s="2">
        <v>10</v>
      </c>
      <c r="C32" s="2">
        <v>0.871</v>
      </c>
      <c r="D32" s="2">
        <v>0.91200000000000003</v>
      </c>
    </row>
    <row r="34" spans="2:6" x14ac:dyDescent="0.45">
      <c r="B34" s="3" t="s">
        <v>123</v>
      </c>
      <c r="C34" s="2">
        <f>SUM(Table911[[PX4 max dist ]])/10</f>
        <v>1.6448000000000005</v>
      </c>
      <c r="D34" s="2">
        <f>SUM(Table911[BC Policy max dist])/10</f>
        <v>1.752</v>
      </c>
    </row>
    <row r="39" spans="2:6" x14ac:dyDescent="0.45">
      <c r="F39" s="17" t="s">
        <v>21</v>
      </c>
    </row>
    <row r="40" spans="2:6" x14ac:dyDescent="0.45">
      <c r="F40" t="s">
        <v>125</v>
      </c>
    </row>
    <row r="41" spans="2:6" x14ac:dyDescent="0.45">
      <c r="F41" t="s">
        <v>124</v>
      </c>
    </row>
    <row r="43" spans="2:6" x14ac:dyDescent="0.45">
      <c r="F43" t="s">
        <v>126</v>
      </c>
    </row>
    <row r="45" spans="2:6" s="35" customFormat="1" ht="14.65" customHeight="1" x14ac:dyDescent="0.45"/>
    <row r="47" spans="2:6" x14ac:dyDescent="0.45">
      <c r="B47" s="3" t="s">
        <v>283</v>
      </c>
      <c r="C47" s="3"/>
    </row>
    <row r="49" spans="2:4" x14ac:dyDescent="0.45">
      <c r="B49" s="13" t="s">
        <v>33</v>
      </c>
      <c r="C49" s="2" t="s">
        <v>121</v>
      </c>
      <c r="D49" s="2" t="s">
        <v>122</v>
      </c>
    </row>
    <row r="50" spans="2:4" x14ac:dyDescent="0.45">
      <c r="B50" s="2">
        <v>1</v>
      </c>
      <c r="C50" s="2">
        <v>1.8680000000000001</v>
      </c>
      <c r="D50" s="2">
        <v>1.9259999999999999</v>
      </c>
    </row>
    <row r="51" spans="2:4" x14ac:dyDescent="0.45">
      <c r="B51" s="2">
        <v>2</v>
      </c>
      <c r="C51" s="2">
        <v>1.05</v>
      </c>
      <c r="D51" s="2">
        <v>1.167</v>
      </c>
    </row>
    <row r="52" spans="2:4" x14ac:dyDescent="0.45">
      <c r="B52" s="2">
        <v>3</v>
      </c>
      <c r="C52" s="2">
        <v>2.0059999999999998</v>
      </c>
      <c r="D52" s="2">
        <v>2.16</v>
      </c>
    </row>
    <row r="53" spans="2:4" x14ac:dyDescent="0.45">
      <c r="B53" s="2">
        <v>4</v>
      </c>
      <c r="C53" s="2">
        <v>2.3370000000000002</v>
      </c>
      <c r="D53" s="2">
        <v>2.403</v>
      </c>
    </row>
    <row r="54" spans="2:4" x14ac:dyDescent="0.45">
      <c r="B54" s="2">
        <v>5</v>
      </c>
      <c r="C54" s="2">
        <v>0.99099999999999999</v>
      </c>
      <c r="D54" s="2">
        <v>0.96799999999999997</v>
      </c>
    </row>
    <row r="55" spans="2:4" x14ac:dyDescent="0.45">
      <c r="B55" s="2">
        <v>6</v>
      </c>
      <c r="C55" s="2">
        <v>2.7629999999999999</v>
      </c>
      <c r="D55" s="2">
        <v>2.9820000000000002</v>
      </c>
    </row>
    <row r="56" spans="2:4" x14ac:dyDescent="0.45">
      <c r="B56" s="2">
        <v>7</v>
      </c>
      <c r="C56" s="2">
        <v>1.788</v>
      </c>
      <c r="D56" s="2">
        <v>1.847</v>
      </c>
    </row>
    <row r="57" spans="2:4" x14ac:dyDescent="0.45">
      <c r="B57" s="2">
        <v>8</v>
      </c>
      <c r="C57" s="2">
        <v>1.871</v>
      </c>
      <c r="D57" s="2">
        <v>1.7969999999999999</v>
      </c>
    </row>
    <row r="58" spans="2:4" x14ac:dyDescent="0.45">
      <c r="B58" s="2">
        <v>9</v>
      </c>
      <c r="C58" s="2">
        <v>0.84699999999999998</v>
      </c>
      <c r="D58" s="2">
        <v>1.66</v>
      </c>
    </row>
    <row r="59" spans="2:4" x14ac:dyDescent="0.45">
      <c r="B59" s="2">
        <v>10</v>
      </c>
      <c r="C59" s="2">
        <v>0.91500000000000004</v>
      </c>
      <c r="D59" s="2">
        <v>1.946</v>
      </c>
    </row>
    <row r="61" spans="2:4" x14ac:dyDescent="0.45">
      <c r="B61" s="3" t="s">
        <v>123</v>
      </c>
      <c r="C61" s="2">
        <f>SUM(Table91135[[PX4 max dist ]])/10</f>
        <v>1.6435999999999999</v>
      </c>
      <c r="D61" s="2">
        <f>SUM(Table91135[BC Policy max dist])/10</f>
        <v>1.8856000000000002</v>
      </c>
    </row>
    <row r="71" spans="2:4" s="35" customFormat="1" x14ac:dyDescent="0.45"/>
    <row r="73" spans="2:4" x14ac:dyDescent="0.45">
      <c r="B73" s="3" t="s">
        <v>284</v>
      </c>
    </row>
    <row r="75" spans="2:4" x14ac:dyDescent="0.45">
      <c r="B75" s="13" t="s">
        <v>33</v>
      </c>
      <c r="C75" s="2" t="s">
        <v>121</v>
      </c>
      <c r="D75" s="2" t="s">
        <v>122</v>
      </c>
    </row>
    <row r="76" spans="2:4" x14ac:dyDescent="0.45">
      <c r="B76" s="2">
        <v>1</v>
      </c>
      <c r="C76" s="2">
        <v>1.905</v>
      </c>
      <c r="D76" s="2">
        <v>1.843</v>
      </c>
    </row>
    <row r="77" spans="2:4" x14ac:dyDescent="0.45">
      <c r="B77" s="2">
        <v>2</v>
      </c>
      <c r="C77" s="2">
        <v>1.032</v>
      </c>
      <c r="D77" s="2">
        <v>1.1950000000000001</v>
      </c>
    </row>
    <row r="78" spans="2:4" x14ac:dyDescent="0.45">
      <c r="B78" s="2">
        <v>3</v>
      </c>
      <c r="C78" s="2">
        <v>1.96</v>
      </c>
      <c r="D78" s="2">
        <v>1.9750000000000001</v>
      </c>
    </row>
    <row r="79" spans="2:4" x14ac:dyDescent="0.45">
      <c r="B79" s="2">
        <v>4</v>
      </c>
      <c r="C79" s="2">
        <v>2.3570000000000002</v>
      </c>
      <c r="D79" s="2">
        <v>2.3530000000000002</v>
      </c>
    </row>
    <row r="80" spans="2:4" x14ac:dyDescent="0.45">
      <c r="B80" s="2">
        <v>5</v>
      </c>
      <c r="C80" s="2">
        <v>0.97399999999999998</v>
      </c>
      <c r="D80" s="2">
        <v>0.94299999999999995</v>
      </c>
    </row>
    <row r="81" spans="2:4" x14ac:dyDescent="0.45">
      <c r="B81" s="2">
        <v>6</v>
      </c>
      <c r="C81" s="2">
        <v>2.7280000000000002</v>
      </c>
      <c r="D81" s="2">
        <v>2.681</v>
      </c>
    </row>
    <row r="82" spans="2:4" x14ac:dyDescent="0.45">
      <c r="B82" s="2">
        <v>7</v>
      </c>
      <c r="C82" s="2">
        <v>1.839</v>
      </c>
      <c r="D82" s="2">
        <v>1.78</v>
      </c>
    </row>
    <row r="83" spans="2:4" x14ac:dyDescent="0.45">
      <c r="B83" s="2">
        <v>8</v>
      </c>
      <c r="C83" s="2">
        <v>1.8460000000000001</v>
      </c>
      <c r="D83" s="2">
        <v>1.8129999999999999</v>
      </c>
    </row>
    <row r="84" spans="2:4" x14ac:dyDescent="0.45">
      <c r="B84" s="2">
        <v>9</v>
      </c>
      <c r="C84" s="2">
        <v>0.85599999999999998</v>
      </c>
      <c r="D84" s="2">
        <v>0.78100000000000003</v>
      </c>
    </row>
    <row r="85" spans="2:4" x14ac:dyDescent="0.45">
      <c r="B85" s="2">
        <v>10</v>
      </c>
      <c r="C85" s="2">
        <v>0.89900000000000002</v>
      </c>
      <c r="D85" s="2">
        <v>1.008</v>
      </c>
    </row>
    <row r="87" spans="2:4" x14ac:dyDescent="0.45">
      <c r="B87" s="3" t="s">
        <v>123</v>
      </c>
      <c r="C87" s="2">
        <f>SUM(Table911358[[PX4 max dist ]])/10</f>
        <v>1.6396000000000002</v>
      </c>
      <c r="D87" s="2">
        <f>SUM(Table911358[BC Policy max dist])/10</f>
        <v>1.6372</v>
      </c>
    </row>
    <row r="96" spans="2:4" s="35" customFormat="1" x14ac:dyDescent="0.45"/>
    <row r="99" spans="2:4" x14ac:dyDescent="0.45">
      <c r="B99" s="3" t="s">
        <v>363</v>
      </c>
    </row>
    <row r="101" spans="2:4" x14ac:dyDescent="0.45">
      <c r="B101" s="13" t="s">
        <v>33</v>
      </c>
      <c r="C101" s="2" t="s">
        <v>121</v>
      </c>
      <c r="D101" s="2" t="s">
        <v>122</v>
      </c>
    </row>
    <row r="102" spans="2:4" x14ac:dyDescent="0.45">
      <c r="B102" s="2">
        <v>1</v>
      </c>
      <c r="C102" s="2">
        <v>1.9339999999999999</v>
      </c>
      <c r="D102" s="2">
        <v>2.077</v>
      </c>
    </row>
    <row r="103" spans="2:4" x14ac:dyDescent="0.45">
      <c r="B103" s="2">
        <v>2</v>
      </c>
      <c r="C103" s="2">
        <v>1.0620000000000001</v>
      </c>
      <c r="D103" s="2">
        <v>1.8460000000000001</v>
      </c>
    </row>
    <row r="104" spans="2:4" x14ac:dyDescent="0.45">
      <c r="B104" s="2">
        <v>3</v>
      </c>
      <c r="C104" s="2">
        <v>2.0329999999999999</v>
      </c>
      <c r="D104" s="2">
        <v>2.0619999999999998</v>
      </c>
    </row>
    <row r="105" spans="2:4" x14ac:dyDescent="0.45">
      <c r="B105" s="2">
        <v>4</v>
      </c>
      <c r="C105" s="2">
        <v>2.319</v>
      </c>
      <c r="D105" s="2">
        <v>2.3010000000000002</v>
      </c>
    </row>
    <row r="106" spans="2:4" x14ac:dyDescent="0.45">
      <c r="B106" s="2">
        <v>5</v>
      </c>
      <c r="C106" s="2">
        <v>0.98599999999999999</v>
      </c>
      <c r="D106" s="2">
        <v>1.1539999999999999</v>
      </c>
    </row>
    <row r="107" spans="2:4" x14ac:dyDescent="0.45">
      <c r="B107" s="2">
        <v>6</v>
      </c>
      <c r="C107" s="2">
        <v>2.7549999999999999</v>
      </c>
      <c r="D107" s="2">
        <v>2.7770000000000001</v>
      </c>
    </row>
    <row r="108" spans="2:4" x14ac:dyDescent="0.45">
      <c r="B108" s="2">
        <v>7</v>
      </c>
      <c r="C108" s="2">
        <v>1.905</v>
      </c>
      <c r="D108" s="2">
        <v>2.181</v>
      </c>
    </row>
    <row r="109" spans="2:4" x14ac:dyDescent="0.45">
      <c r="B109" s="2">
        <v>8</v>
      </c>
      <c r="C109" s="2">
        <v>1.8520000000000001</v>
      </c>
      <c r="D109" s="2">
        <v>1.7230000000000001</v>
      </c>
    </row>
    <row r="110" spans="2:4" x14ac:dyDescent="0.45">
      <c r="B110" s="2">
        <v>9</v>
      </c>
      <c r="C110" s="2">
        <v>0.81699999999999995</v>
      </c>
      <c r="D110" s="2">
        <v>0.88600000000000001</v>
      </c>
    </row>
    <row r="111" spans="2:4" x14ac:dyDescent="0.45">
      <c r="B111" s="2">
        <v>10</v>
      </c>
      <c r="C111" s="2">
        <v>0.91500000000000004</v>
      </c>
      <c r="D111" s="2">
        <v>1.2849999999999999</v>
      </c>
    </row>
    <row r="113" spans="2:4" x14ac:dyDescent="0.45">
      <c r="B113" s="3" t="s">
        <v>123</v>
      </c>
      <c r="C113" s="2">
        <f>SUM(Table91135818[[PX4 max dist ]])/10</f>
        <v>1.6577999999999999</v>
      </c>
      <c r="D113" s="2">
        <f>SUM(Table91135818[BC Policy max dist])/10</f>
        <v>1.8291999999999997</v>
      </c>
    </row>
  </sheetData>
  <pageMargins left="0.7" right="0.7" top="0.75" bottom="0.75" header="0.3" footer="0.3"/>
  <drawing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90F6-1836-4B57-B392-B1E6BF767812}">
  <dimension ref="B2:L156"/>
  <sheetViews>
    <sheetView topLeftCell="A79" zoomScale="85" zoomScaleNormal="85" workbookViewId="0">
      <selection activeCell="D158" sqref="D158"/>
    </sheetView>
  </sheetViews>
  <sheetFormatPr defaultRowHeight="14.25" x14ac:dyDescent="0.45"/>
  <cols>
    <col min="2" max="2" width="13.59765625" customWidth="1"/>
    <col min="3" max="3" width="15.73046875" customWidth="1"/>
    <col min="4" max="4" width="17.33203125" customWidth="1"/>
    <col min="5" max="5" width="16.46484375" customWidth="1"/>
    <col min="6" max="6" width="27" customWidth="1"/>
    <col min="7" max="7" width="59.796875" customWidth="1"/>
    <col min="8" max="8" width="22.46484375" customWidth="1"/>
    <col min="9" max="9" width="9.73046875" customWidth="1"/>
    <col min="10" max="10" width="11" customWidth="1"/>
  </cols>
  <sheetData>
    <row r="2" spans="2:2" x14ac:dyDescent="0.45">
      <c r="B2" s="3" t="s">
        <v>128</v>
      </c>
    </row>
    <row r="4" spans="2:2" x14ac:dyDescent="0.45">
      <c r="B4" t="s">
        <v>129</v>
      </c>
    </row>
    <row r="5" spans="2:2" x14ac:dyDescent="0.45">
      <c r="B5" t="s">
        <v>130</v>
      </c>
    </row>
    <row r="35" spans="2:12" x14ac:dyDescent="0.45">
      <c r="B35" s="17" t="s">
        <v>21</v>
      </c>
    </row>
    <row r="36" spans="2:12" x14ac:dyDescent="0.45">
      <c r="B36" s="3"/>
      <c r="C36" s="3"/>
      <c r="D36" s="3"/>
      <c r="E36" s="3"/>
    </row>
    <row r="37" spans="2:12" x14ac:dyDescent="0.45">
      <c r="B37" s="19" t="s">
        <v>133</v>
      </c>
      <c r="C37" s="19" t="s">
        <v>134</v>
      </c>
      <c r="D37" s="19" t="s">
        <v>135</v>
      </c>
      <c r="E37" s="19" t="s">
        <v>136</v>
      </c>
      <c r="F37" s="20" t="s">
        <v>137</v>
      </c>
      <c r="G37" s="19"/>
      <c r="H37" s="19"/>
      <c r="I37" s="19"/>
      <c r="J37" s="19"/>
      <c r="L37" s="3" t="s">
        <v>150</v>
      </c>
    </row>
    <row r="38" spans="2:12" x14ac:dyDescent="0.45">
      <c r="B38" s="22" t="s">
        <v>138</v>
      </c>
      <c r="C38" s="21" t="s">
        <v>142</v>
      </c>
      <c r="D38" s="12" t="s">
        <v>139</v>
      </c>
      <c r="E38" s="13" t="s">
        <v>149</v>
      </c>
      <c r="F38" s="12" t="s">
        <v>140</v>
      </c>
      <c r="G38" s="12"/>
      <c r="H38" s="12"/>
      <c r="I38" s="12"/>
      <c r="J38" s="12"/>
      <c r="L38" t="s">
        <v>151</v>
      </c>
    </row>
    <row r="39" spans="2:12" x14ac:dyDescent="0.45">
      <c r="B39" s="22" t="s">
        <v>141</v>
      </c>
      <c r="C39" s="21" t="s">
        <v>143</v>
      </c>
      <c r="D39" s="12" t="s">
        <v>144</v>
      </c>
      <c r="E39" s="13" t="s">
        <v>170</v>
      </c>
      <c r="F39" s="12" t="s">
        <v>145</v>
      </c>
      <c r="G39" s="12"/>
      <c r="H39" s="12"/>
      <c r="I39" s="12"/>
      <c r="J39" s="12"/>
      <c r="L39" t="s">
        <v>152</v>
      </c>
    </row>
    <row r="40" spans="2:12" x14ac:dyDescent="0.45">
      <c r="B40" s="22" t="s">
        <v>146</v>
      </c>
      <c r="C40" s="21" t="s">
        <v>147</v>
      </c>
      <c r="D40" s="12" t="s">
        <v>148</v>
      </c>
      <c r="E40" s="13" t="s">
        <v>171</v>
      </c>
      <c r="F40" s="12" t="s">
        <v>172</v>
      </c>
      <c r="G40" s="12"/>
      <c r="H40" s="12"/>
      <c r="I40" s="12"/>
      <c r="J40" s="12"/>
      <c r="L40" t="s">
        <v>174</v>
      </c>
    </row>
    <row r="41" spans="2:12" x14ac:dyDescent="0.45">
      <c r="B41" s="3"/>
      <c r="C41" s="4"/>
      <c r="D41" s="4"/>
      <c r="E41" s="4"/>
    </row>
    <row r="42" spans="2:12" x14ac:dyDescent="0.45">
      <c r="B42" s="14" t="s">
        <v>153</v>
      </c>
      <c r="C42" s="2"/>
      <c r="D42" s="2"/>
      <c r="E42" s="2"/>
    </row>
    <row r="43" spans="2:12" x14ac:dyDescent="0.45">
      <c r="C43" s="4" t="s">
        <v>18</v>
      </c>
      <c r="D43" s="4"/>
      <c r="E43" s="2"/>
      <c r="F43" s="2"/>
      <c r="G43" s="2"/>
    </row>
    <row r="44" spans="2:12" x14ac:dyDescent="0.45">
      <c r="B44" s="3" t="s">
        <v>33</v>
      </c>
      <c r="C44" s="4" t="s">
        <v>15</v>
      </c>
      <c r="D44" s="4" t="s">
        <v>164</v>
      </c>
      <c r="E44" s="4" t="s">
        <v>154</v>
      </c>
      <c r="F44" s="4" t="s">
        <v>155</v>
      </c>
      <c r="G44" s="4" t="s">
        <v>159</v>
      </c>
    </row>
    <row r="45" spans="2:12" x14ac:dyDescent="0.45">
      <c r="B45" s="2">
        <v>1</v>
      </c>
      <c r="C45" s="2">
        <v>9.5640000000000001</v>
      </c>
      <c r="D45" s="25" t="s">
        <v>146</v>
      </c>
      <c r="E45" s="13"/>
      <c r="F45" s="27" t="s">
        <v>156</v>
      </c>
      <c r="G45" s="13" t="s">
        <v>176</v>
      </c>
    </row>
    <row r="46" spans="2:12" x14ac:dyDescent="0.45">
      <c r="B46" s="2">
        <v>2</v>
      </c>
      <c r="C46" s="2">
        <v>10.119999999999999</v>
      </c>
      <c r="D46" s="26" t="s">
        <v>138</v>
      </c>
      <c r="E46" s="27" t="s">
        <v>157</v>
      </c>
      <c r="F46" s="27"/>
      <c r="G46" s="23" t="s">
        <v>160</v>
      </c>
    </row>
    <row r="47" spans="2:12" x14ac:dyDescent="0.45">
      <c r="B47" s="2">
        <v>3</v>
      </c>
      <c r="C47" s="2">
        <v>9.9220000000000006</v>
      </c>
      <c r="D47" s="24" t="s">
        <v>141</v>
      </c>
      <c r="E47" s="27" t="s">
        <v>158</v>
      </c>
      <c r="F47" s="27" t="s">
        <v>158</v>
      </c>
      <c r="G47" s="23" t="s">
        <v>177</v>
      </c>
    </row>
    <row r="48" spans="2:12" x14ac:dyDescent="0.45">
      <c r="B48" s="2">
        <v>4</v>
      </c>
      <c r="C48" s="2">
        <v>9.4109999999999996</v>
      </c>
      <c r="D48" s="25" t="s">
        <v>146</v>
      </c>
      <c r="E48" s="27"/>
      <c r="F48" s="27" t="s">
        <v>156</v>
      </c>
      <c r="G48" s="23" t="s">
        <v>175</v>
      </c>
    </row>
    <row r="49" spans="2:7" x14ac:dyDescent="0.45">
      <c r="B49" s="2">
        <v>5</v>
      </c>
      <c r="C49" s="2">
        <v>9.641</v>
      </c>
      <c r="D49" s="24" t="s">
        <v>141</v>
      </c>
      <c r="E49" s="27"/>
      <c r="F49" s="27" t="s">
        <v>156</v>
      </c>
      <c r="G49" s="23" t="s">
        <v>178</v>
      </c>
    </row>
    <row r="50" spans="2:7" x14ac:dyDescent="0.45">
      <c r="B50" s="2">
        <v>6</v>
      </c>
      <c r="C50" s="2">
        <v>10.37</v>
      </c>
      <c r="D50" s="26" t="s">
        <v>138</v>
      </c>
      <c r="E50" s="27" t="s">
        <v>157</v>
      </c>
      <c r="F50" s="27"/>
      <c r="G50" s="23" t="s">
        <v>179</v>
      </c>
    </row>
    <row r="51" spans="2:7" x14ac:dyDescent="0.45">
      <c r="B51" s="2">
        <v>7</v>
      </c>
      <c r="C51" s="2">
        <v>9.6780000000000008</v>
      </c>
      <c r="D51" s="24" t="s">
        <v>141</v>
      </c>
      <c r="E51" s="27" t="s">
        <v>157</v>
      </c>
      <c r="F51" s="27" t="s">
        <v>156</v>
      </c>
      <c r="G51" s="23" t="s">
        <v>178</v>
      </c>
    </row>
    <row r="52" spans="2:7" x14ac:dyDescent="0.45">
      <c r="B52" s="2">
        <v>8</v>
      </c>
      <c r="C52" s="2">
        <v>10.321</v>
      </c>
      <c r="D52" s="26" t="s">
        <v>138</v>
      </c>
      <c r="E52" s="27" t="s">
        <v>157</v>
      </c>
      <c r="F52" s="27"/>
      <c r="G52" s="23" t="s">
        <v>162</v>
      </c>
    </row>
    <row r="53" spans="2:7" x14ac:dyDescent="0.45">
      <c r="B53" s="2">
        <v>9</v>
      </c>
      <c r="C53" s="2">
        <v>10.77</v>
      </c>
      <c r="D53" s="26" t="s">
        <v>138</v>
      </c>
      <c r="E53" s="27" t="s">
        <v>157</v>
      </c>
      <c r="F53" s="27"/>
      <c r="G53" s="23" t="s">
        <v>161</v>
      </c>
    </row>
    <row r="54" spans="2:7" x14ac:dyDescent="0.45">
      <c r="B54" s="2">
        <v>10</v>
      </c>
      <c r="C54" s="2">
        <v>10.263</v>
      </c>
      <c r="D54" s="26" t="s">
        <v>138</v>
      </c>
      <c r="E54" s="27" t="s">
        <v>157</v>
      </c>
      <c r="F54" s="27"/>
      <c r="G54" s="23" t="s">
        <v>163</v>
      </c>
    </row>
    <row r="57" spans="2:7" x14ac:dyDescent="0.45">
      <c r="B57" s="3" t="s">
        <v>138</v>
      </c>
    </row>
    <row r="58" spans="2:7" x14ac:dyDescent="0.45">
      <c r="B58" t="s">
        <v>169</v>
      </c>
    </row>
    <row r="60" spans="2:7" x14ac:dyDescent="0.45">
      <c r="B60" s="3" t="s">
        <v>165</v>
      </c>
    </row>
    <row r="61" spans="2:7" x14ac:dyDescent="0.45">
      <c r="B61" t="s">
        <v>168</v>
      </c>
    </row>
    <row r="62" spans="2:7" x14ac:dyDescent="0.45">
      <c r="B62" t="s">
        <v>166</v>
      </c>
    </row>
    <row r="63" spans="2:7" x14ac:dyDescent="0.45">
      <c r="B63" t="s">
        <v>167</v>
      </c>
    </row>
    <row r="65" spans="2:2" x14ac:dyDescent="0.45">
      <c r="B65" s="3" t="s">
        <v>146</v>
      </c>
    </row>
    <row r="66" spans="2:2" x14ac:dyDescent="0.45">
      <c r="B66" t="s">
        <v>173</v>
      </c>
    </row>
    <row r="69" spans="2:2" x14ac:dyDescent="0.45">
      <c r="B69" t="s">
        <v>181</v>
      </c>
    </row>
    <row r="70" spans="2:2" x14ac:dyDescent="0.45">
      <c r="B70" t="s">
        <v>180</v>
      </c>
    </row>
    <row r="72" spans="2:2" s="35" customFormat="1" x14ac:dyDescent="0.45"/>
    <row r="75" spans="2:2" x14ac:dyDescent="0.45">
      <c r="B75" s="3" t="s">
        <v>208</v>
      </c>
    </row>
    <row r="105" spans="2:10" x14ac:dyDescent="0.45">
      <c r="B105" s="17" t="s">
        <v>21</v>
      </c>
    </row>
    <row r="106" spans="2:10" x14ac:dyDescent="0.45">
      <c r="B106" s="3"/>
      <c r="C106" s="3"/>
      <c r="D106" s="3"/>
      <c r="E106" s="3"/>
    </row>
    <row r="107" spans="2:10" x14ac:dyDescent="0.45">
      <c r="B107" s="19" t="s">
        <v>133</v>
      </c>
      <c r="C107" s="19" t="s">
        <v>134</v>
      </c>
      <c r="D107" s="19" t="s">
        <v>135</v>
      </c>
      <c r="E107" s="19" t="s">
        <v>136</v>
      </c>
      <c r="F107" s="20" t="s">
        <v>137</v>
      </c>
      <c r="G107" s="19"/>
      <c r="H107" s="19" t="s">
        <v>252</v>
      </c>
      <c r="I107" s="19"/>
      <c r="J107" s="19"/>
    </row>
    <row r="108" spans="2:10" x14ac:dyDescent="0.45">
      <c r="B108" s="22" t="s">
        <v>138</v>
      </c>
      <c r="C108" s="21" t="s">
        <v>142</v>
      </c>
      <c r="D108" s="12" t="s">
        <v>245</v>
      </c>
      <c r="E108" s="13" t="s">
        <v>251</v>
      </c>
      <c r="F108" s="12" t="s">
        <v>256</v>
      </c>
      <c r="G108" s="12"/>
      <c r="H108" s="12" t="s">
        <v>253</v>
      </c>
      <c r="I108" s="12"/>
      <c r="J108" s="12"/>
    </row>
    <row r="109" spans="2:10" x14ac:dyDescent="0.45">
      <c r="B109" s="22" t="s">
        <v>141</v>
      </c>
      <c r="C109" s="21" t="s">
        <v>143</v>
      </c>
      <c r="D109" s="12" t="s">
        <v>247</v>
      </c>
      <c r="E109" s="13" t="s">
        <v>246</v>
      </c>
      <c r="F109" s="12" t="s">
        <v>248</v>
      </c>
      <c r="G109" s="12"/>
      <c r="H109" s="12" t="s">
        <v>254</v>
      </c>
      <c r="I109" s="12"/>
      <c r="J109" s="12"/>
    </row>
    <row r="110" spans="2:10" x14ac:dyDescent="0.45">
      <c r="B110" s="22" t="s">
        <v>146</v>
      </c>
      <c r="C110" s="21" t="s">
        <v>147</v>
      </c>
      <c r="D110" s="12" t="s">
        <v>250</v>
      </c>
      <c r="E110" s="13" t="s">
        <v>249</v>
      </c>
      <c r="F110" s="12" t="s">
        <v>257</v>
      </c>
      <c r="G110" s="12"/>
      <c r="H110" s="12" t="s">
        <v>255</v>
      </c>
      <c r="I110" s="12"/>
      <c r="J110" s="12"/>
    </row>
    <row r="112" spans="2:10" x14ac:dyDescent="0.45">
      <c r="B112" s="14" t="s">
        <v>153</v>
      </c>
      <c r="C112" s="2"/>
      <c r="D112" s="2"/>
      <c r="E112" s="2"/>
    </row>
    <row r="113" spans="2:7" x14ac:dyDescent="0.45">
      <c r="C113" s="4" t="s">
        <v>18</v>
      </c>
      <c r="D113" s="4"/>
      <c r="E113" s="2"/>
      <c r="F113" s="2"/>
      <c r="G113" s="2"/>
    </row>
    <row r="114" spans="2:7" x14ac:dyDescent="0.45">
      <c r="B114" s="3" t="s">
        <v>33</v>
      </c>
      <c r="C114" s="4" t="s">
        <v>15</v>
      </c>
      <c r="D114" s="4" t="s">
        <v>164</v>
      </c>
      <c r="E114" s="4" t="s">
        <v>258</v>
      </c>
      <c r="F114" s="4" t="s">
        <v>259</v>
      </c>
      <c r="G114" s="4"/>
    </row>
    <row r="115" spans="2:7" x14ac:dyDescent="0.45">
      <c r="B115" s="2">
        <v>1</v>
      </c>
      <c r="C115" s="2">
        <v>9.9589999999999996</v>
      </c>
      <c r="D115" s="24" t="s">
        <v>141</v>
      </c>
      <c r="E115" s="27" t="s">
        <v>156</v>
      </c>
      <c r="F115" s="38" t="s">
        <v>260</v>
      </c>
      <c r="G115" s="13"/>
    </row>
    <row r="116" spans="2:7" x14ac:dyDescent="0.45">
      <c r="B116" s="2">
        <v>2</v>
      </c>
      <c r="C116" s="2">
        <v>10.010999999999999</v>
      </c>
      <c r="D116" s="25" t="s">
        <v>146</v>
      </c>
      <c r="E116" s="27" t="s">
        <v>157</v>
      </c>
      <c r="F116" s="37" t="s">
        <v>263</v>
      </c>
      <c r="G116" s="23"/>
    </row>
    <row r="117" spans="2:7" x14ac:dyDescent="0.45">
      <c r="B117" s="2">
        <v>3</v>
      </c>
      <c r="C117" s="2">
        <v>9.9209999999999994</v>
      </c>
      <c r="D117" s="24" t="s">
        <v>141</v>
      </c>
      <c r="E117" s="27" t="s">
        <v>156</v>
      </c>
      <c r="F117" s="38" t="s">
        <v>260</v>
      </c>
      <c r="G117" s="23"/>
    </row>
    <row r="118" spans="2:7" x14ac:dyDescent="0.45">
      <c r="B118" s="2">
        <v>4</v>
      </c>
      <c r="C118" s="2">
        <v>9.9830000000000005</v>
      </c>
      <c r="D118" s="24" t="s">
        <v>141</v>
      </c>
      <c r="E118" s="27" t="s">
        <v>156</v>
      </c>
      <c r="F118" s="38" t="s">
        <v>261</v>
      </c>
      <c r="G118" s="23"/>
    </row>
    <row r="119" spans="2:7" x14ac:dyDescent="0.45">
      <c r="B119" s="2">
        <v>5</v>
      </c>
      <c r="C119" s="2">
        <v>9.9009999999999998</v>
      </c>
      <c r="D119" s="24" t="s">
        <v>141</v>
      </c>
      <c r="E119" s="27" t="s">
        <v>158</v>
      </c>
      <c r="F119" s="38" t="s">
        <v>261</v>
      </c>
      <c r="G119" s="23"/>
    </row>
    <row r="120" spans="2:7" x14ac:dyDescent="0.45">
      <c r="B120" s="2">
        <v>6</v>
      </c>
      <c r="C120" s="2">
        <v>9.9890000000000008</v>
      </c>
      <c r="D120" s="24" t="s">
        <v>141</v>
      </c>
      <c r="E120" s="27" t="s">
        <v>156</v>
      </c>
      <c r="F120" s="38" t="s">
        <v>260</v>
      </c>
      <c r="G120" s="23"/>
    </row>
    <row r="121" spans="2:7" x14ac:dyDescent="0.45">
      <c r="B121" s="2">
        <v>7</v>
      </c>
      <c r="C121" s="2">
        <v>10.083</v>
      </c>
      <c r="D121" s="25" t="s">
        <v>146</v>
      </c>
      <c r="E121" s="27" t="s">
        <v>157</v>
      </c>
      <c r="F121" s="37" t="s">
        <v>263</v>
      </c>
      <c r="G121" s="23"/>
    </row>
    <row r="122" spans="2:7" x14ac:dyDescent="0.45">
      <c r="B122" s="2">
        <v>8</v>
      </c>
      <c r="C122" s="2">
        <v>9.968</v>
      </c>
      <c r="D122" s="24" t="s">
        <v>141</v>
      </c>
      <c r="E122" s="27" t="s">
        <v>156</v>
      </c>
      <c r="F122" s="38" t="s">
        <v>260</v>
      </c>
      <c r="G122" s="23"/>
    </row>
    <row r="123" spans="2:7" x14ac:dyDescent="0.45">
      <c r="B123" s="2">
        <v>9</v>
      </c>
      <c r="C123" s="2">
        <v>9.8940000000000001</v>
      </c>
      <c r="D123" s="26" t="s">
        <v>138</v>
      </c>
      <c r="E123" s="27" t="s">
        <v>156</v>
      </c>
      <c r="F123" s="39" t="s">
        <v>262</v>
      </c>
      <c r="G123" s="23"/>
    </row>
    <row r="124" spans="2:7" x14ac:dyDescent="0.45">
      <c r="B124" s="2">
        <v>10</v>
      </c>
      <c r="C124" s="2">
        <v>9.8770000000000007</v>
      </c>
      <c r="D124" s="26" t="s">
        <v>138</v>
      </c>
      <c r="E124" s="27" t="s">
        <v>156</v>
      </c>
      <c r="F124" s="39" t="s">
        <v>262</v>
      </c>
      <c r="G124" s="23"/>
    </row>
    <row r="127" spans="2:7" x14ac:dyDescent="0.45">
      <c r="B127" s="3" t="s">
        <v>138</v>
      </c>
    </row>
    <row r="128" spans="2:7" x14ac:dyDescent="0.45">
      <c r="B128" s="3" t="s">
        <v>264</v>
      </c>
    </row>
    <row r="129" spans="2:2" x14ac:dyDescent="0.45">
      <c r="B129" s="3" t="s">
        <v>266</v>
      </c>
    </row>
    <row r="130" spans="2:2" x14ac:dyDescent="0.45">
      <c r="B130" s="3" t="s">
        <v>277</v>
      </c>
    </row>
    <row r="131" spans="2:2" x14ac:dyDescent="0.45">
      <c r="B131" s="3" t="s">
        <v>265</v>
      </c>
    </row>
    <row r="133" spans="2:2" x14ac:dyDescent="0.45">
      <c r="B133" s="3" t="s">
        <v>165</v>
      </c>
    </row>
    <row r="134" spans="2:2" x14ac:dyDescent="0.45">
      <c r="B134" s="3" t="s">
        <v>267</v>
      </c>
    </row>
    <row r="135" spans="2:2" x14ac:dyDescent="0.45">
      <c r="B135" s="3" t="s">
        <v>275</v>
      </c>
    </row>
    <row r="136" spans="2:2" x14ac:dyDescent="0.45">
      <c r="B136" s="3" t="s">
        <v>276</v>
      </c>
    </row>
    <row r="137" spans="2:2" x14ac:dyDescent="0.45">
      <c r="B137" s="3" t="s">
        <v>269</v>
      </c>
    </row>
    <row r="138" spans="2:2" x14ac:dyDescent="0.45">
      <c r="B138" t="s">
        <v>270</v>
      </c>
    </row>
    <row r="139" spans="2:2" x14ac:dyDescent="0.45">
      <c r="B139" s="3" t="s">
        <v>268</v>
      </c>
    </row>
    <row r="141" spans="2:2" x14ac:dyDescent="0.45">
      <c r="B141" s="3" t="s">
        <v>146</v>
      </c>
    </row>
    <row r="142" spans="2:2" x14ac:dyDescent="0.45">
      <c r="B142" s="3" t="s">
        <v>271</v>
      </c>
    </row>
    <row r="143" spans="2:2" x14ac:dyDescent="0.45">
      <c r="B143" s="3" t="s">
        <v>272</v>
      </c>
    </row>
    <row r="144" spans="2:2" x14ac:dyDescent="0.45">
      <c r="B144" s="3" t="s">
        <v>274</v>
      </c>
    </row>
    <row r="145" spans="2:2" x14ac:dyDescent="0.45">
      <c r="B145" s="3" t="s">
        <v>273</v>
      </c>
    </row>
    <row r="148" spans="2:2" x14ac:dyDescent="0.45">
      <c r="B148" s="33" t="s">
        <v>278</v>
      </c>
    </row>
    <row r="149" spans="2:2" x14ac:dyDescent="0.45">
      <c r="B149" t="s">
        <v>279</v>
      </c>
    </row>
    <row r="150" spans="2:2" x14ac:dyDescent="0.45">
      <c r="B150" t="s">
        <v>280</v>
      </c>
    </row>
    <row r="151" spans="2:2" x14ac:dyDescent="0.45">
      <c r="B151" t="s">
        <v>281</v>
      </c>
    </row>
    <row r="152" spans="2:2" x14ac:dyDescent="0.45">
      <c r="B152" t="s">
        <v>282</v>
      </c>
    </row>
    <row r="156" spans="2:2" s="35" customFormat="1" x14ac:dyDescent="0.45"/>
  </sheetData>
  <pageMargins left="0.7" right="0.7" top="0.75" bottom="0.75" header="0.3" footer="0.3"/>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FA93-B722-49C6-9FB1-86E266BF4C25}">
  <dimension ref="A1"/>
  <sheetViews>
    <sheetView topLeftCell="A56" zoomScale="70" zoomScaleNormal="70" workbookViewId="0">
      <selection activeCell="AB26" sqref="AB26"/>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vt:lpstr>
      <vt:lpstr>Paper_References</vt:lpstr>
      <vt:lpstr>Raw_Data_Collection_SITL_Ep_100</vt:lpstr>
      <vt:lpstr>Raw_Data_Collection_HITL_Ep_100</vt:lpstr>
      <vt:lpstr>Raw_Data_Collection_HITL_Ep_200</vt:lpstr>
      <vt:lpstr>Mean Episode Altitude</vt:lpstr>
      <vt:lpstr>Root Mean Squared Error</vt:lpstr>
      <vt:lpstr>Horizontal Drift</vt:lpstr>
      <vt:lpstr>Vertical Command Distribution</vt:lpstr>
      <vt:lpstr>Overall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Johnny</dc:creator>
  <cp:lastModifiedBy>Lukas Johnny</cp:lastModifiedBy>
  <dcterms:created xsi:type="dcterms:W3CDTF">2015-06-05T18:17:20Z</dcterms:created>
  <dcterms:modified xsi:type="dcterms:W3CDTF">2026-06-07T22:26:53Z</dcterms:modified>
</cp:coreProperties>
</file>